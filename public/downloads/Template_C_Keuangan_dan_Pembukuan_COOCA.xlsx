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UKU_KAS_DAN_LABA_RU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1D4ED8"/>
        <bgColor rgb="001D4ED8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pivotButton="0" quotePrefix="0" xfId="0"/>
    <xf numFmtId="164" fontId="5" fillId="5" borderId="1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right" vertical="center"/>
    </xf>
    <xf numFmtId="164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2" customWidth="1" min="4" max="4"/>
    <col width="13" customWidth="1" min="5" max="5"/>
    <col width="18" customWidth="1" min="6" max="6"/>
    <col width="20" customWidth="1" min="7" max="7"/>
    <col width="2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4" customHeight="1">
      <c r="A1" s="1" t="inlineStr">
        <is>
          <t>MODUL C: KEUANGAN, ARUS KAS &amp; LABA RUGI OTOMATIS</t>
        </is>
      </c>
    </row>
    <row r="2" ht="22" customHeight="1">
      <c r="A2" s="2" t="inlineStr">
        <is>
          <t>Buku Kas Harian, Saldo Berjalan Kasir/Bank &amp; Laporan Laba Rugi Operasional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4" t="inlineStr">
        <is>
          <t>No</t>
        </is>
      </c>
      <c r="B5" s="4" t="inlineStr">
        <is>
          <t>Tanggal</t>
        </is>
      </c>
      <c r="C5" s="4" t="inlineStr">
        <is>
          <t>Kategori</t>
        </is>
      </c>
      <c r="D5" s="4" t="inlineStr">
        <is>
          <t>Keterangan Transaksi</t>
        </is>
      </c>
      <c r="E5" s="4" t="inlineStr">
        <is>
          <t>Akun</t>
        </is>
      </c>
      <c r="F5" s="4" t="inlineStr">
        <is>
          <t>Pemasukan (Rp)</t>
        </is>
      </c>
      <c r="G5" s="4" t="inlineStr">
        <is>
          <t>Pengeluaran (Rp)</t>
        </is>
      </c>
      <c r="H5" s="4" t="inlineStr">
        <is>
          <t>Saldo Berjalan (Rp)</t>
        </is>
      </c>
    </row>
    <row r="6">
      <c r="A6" s="5" t="n">
        <v>1</v>
      </c>
      <c r="B6" s="5" t="inlineStr">
        <is>
          <t>2026-10-01</t>
        </is>
      </c>
      <c r="C6" s="6" t="inlineStr">
        <is>
          <t>Saldo Awal</t>
        </is>
      </c>
      <c r="D6" s="6" t="inlineStr">
        <is>
          <t>Modal Awal Kas &amp; Bank</t>
        </is>
      </c>
      <c r="E6" s="5" t="inlineStr">
        <is>
          <t>BCA</t>
        </is>
      </c>
      <c r="F6" s="7" t="n">
        <v>15000000</v>
      </c>
      <c r="G6" s="7" t="n">
        <v>0</v>
      </c>
      <c r="H6" s="8">
        <f>F6-G6</f>
        <v/>
      </c>
    </row>
    <row r="7">
      <c r="A7" s="5" t="n">
        <v>2</v>
      </c>
      <c r="B7" s="5" t="inlineStr">
        <is>
          <t>2026-10-01</t>
        </is>
      </c>
      <c r="C7" s="6" t="inlineStr">
        <is>
          <t>Penjualan</t>
        </is>
      </c>
      <c r="D7" s="6" t="inlineStr">
        <is>
          <t>Penerimaan Kasir Toko Harian</t>
        </is>
      </c>
      <c r="E7" s="5" t="inlineStr">
        <is>
          <t>Kasir</t>
        </is>
      </c>
      <c r="F7" s="7" t="n">
        <v>2450000</v>
      </c>
      <c r="G7" s="7" t="n">
        <v>0</v>
      </c>
      <c r="H7" s="8">
        <f>H6+F7-G7</f>
        <v/>
      </c>
    </row>
    <row r="8">
      <c r="A8" s="5" t="n">
        <v>3</v>
      </c>
      <c r="B8" s="5" t="inlineStr">
        <is>
          <t>2026-10-01</t>
        </is>
      </c>
      <c r="C8" s="6" t="inlineStr">
        <is>
          <t>Kulakan</t>
        </is>
      </c>
      <c r="D8" s="6" t="inlineStr">
        <is>
          <t>Beli Susu &amp; Biji Kopi</t>
        </is>
      </c>
      <c r="E8" s="5" t="inlineStr">
        <is>
          <t>Kasir</t>
        </is>
      </c>
      <c r="F8" s="7" t="n">
        <v>0</v>
      </c>
      <c r="G8" s="7" t="n">
        <v>850000</v>
      </c>
      <c r="H8" s="8">
        <f>H7+F8-G8</f>
        <v/>
      </c>
    </row>
    <row r="9">
      <c r="A9" s="5" t="n">
        <v>4</v>
      </c>
      <c r="B9" s="5" t="inlineStr">
        <is>
          <t>2026-10-02</t>
        </is>
      </c>
      <c r="C9" s="6" t="inlineStr">
        <is>
          <t>Penjualan</t>
        </is>
      </c>
      <c r="D9" s="6" t="inlineStr">
        <is>
          <t>Pencairan ShopeePay</t>
        </is>
      </c>
      <c r="E9" s="5" t="inlineStr">
        <is>
          <t>BCA</t>
        </is>
      </c>
      <c r="F9" s="7" t="n">
        <v>3800000</v>
      </c>
      <c r="G9" s="7" t="n">
        <v>0</v>
      </c>
      <c r="H9" s="8">
        <f>H8+F9-G9</f>
        <v/>
      </c>
    </row>
    <row r="10">
      <c r="A10" s="5" t="n">
        <v>5</v>
      </c>
      <c r="B10" s="5" t="inlineStr">
        <is>
          <t>2026-10-02</t>
        </is>
      </c>
      <c r="C10" s="6" t="inlineStr">
        <is>
          <t>Operasional</t>
        </is>
      </c>
      <c r="D10" s="6" t="inlineStr">
        <is>
          <t>Listrik PLN &amp; Wi-Fi Toko</t>
        </is>
      </c>
      <c r="E10" s="5" t="inlineStr">
        <is>
          <t>BCA</t>
        </is>
      </c>
      <c r="F10" s="7" t="n">
        <v>0</v>
      </c>
      <c r="G10" s="7" t="n">
        <v>1250000</v>
      </c>
      <c r="H10" s="8">
        <f>H9+F10-G10</f>
        <v/>
      </c>
    </row>
    <row r="11">
      <c r="A11" s="9" t="n"/>
      <c r="B11" s="9" t="n"/>
      <c r="C11" s="9" t="n"/>
      <c r="D11" s="10" t="inlineStr">
        <is>
          <t>TOTAL &amp; SALDO AKHIR:</t>
        </is>
      </c>
      <c r="E11" s="9" t="n"/>
      <c r="F11" s="11">
        <f>SUM(F6:F10)</f>
        <v/>
      </c>
      <c r="G11" s="11">
        <f>SUM(G6:G10)</f>
        <v/>
      </c>
      <c r="H11" s="11">
        <f>H10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