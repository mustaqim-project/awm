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DATA_KARYAWAN_DAN_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&quot;#,##0;(&quot;Rp&quot;#,##0);&quot;-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47857"/>
      <sz val="9"/>
    </font>
    <font>
      <name val="Segoe UI"/>
      <b val="1"/>
      <color rgb="00FFFFFF"/>
      <sz val="10"/>
    </font>
    <font>
      <name val="Segoe UI"/>
      <b val="1"/>
      <color rgb="000F172A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CFDF5"/>
        <bgColor rgb="00ECFDF5"/>
      </patternFill>
    </fill>
    <fill>
      <patternFill patternType="solid">
        <fgColor rgb="006D28D9"/>
        <bgColor rgb="006D28D9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293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pivotButton="0" quotePrefix="0" xfId="0"/>
    <xf numFmtId="3" fontId="0" fillId="3" borderId="1" pivotButton="0" quotePrefix="0" xfId="0"/>
    <xf numFmtId="164" fontId="0" fillId="5" borderId="1" pivotButton="0" quotePrefix="0" xfId="0"/>
    <xf numFmtId="164" fontId="5" fillId="6" borderId="1" pivotButton="0" quotePrefix="0" xfId="0"/>
    <xf numFmtId="0" fontId="0" fillId="6" borderId="2" pivotButton="0" quotePrefix="0" xfId="0"/>
    <xf numFmtId="0" fontId="5" fillId="6" borderId="2" applyAlignment="1" pivotButton="0" quotePrefix="0" xfId="0">
      <alignment horizontal="right" vertical="center"/>
    </xf>
    <xf numFmtId="164" fontId="5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7" customWidth="1" min="4" max="4"/>
    <col width="19" customWidth="1" min="5" max="5"/>
    <col width="18" customWidth="1" min="6" max="6"/>
    <col width="16" customWidth="1" min="7" max="7"/>
    <col width="14" customWidth="1" min="8" max="8"/>
    <col width="20" customWidth="1" min="9" max="9"/>
    <col width="13" customWidth="1" min="10" max="10"/>
    <col width="24" customWidth="1" min="11" max="11"/>
    <col width="13" customWidth="1" min="12" max="12"/>
  </cols>
  <sheetData>
    <row r="1" ht="34" customHeight="1">
      <c r="A1" s="1" t="inlineStr">
        <is>
          <t>MODUL E: SDM, ABSENSI, LEMBUR &amp; PENGGAJIAN (PAYROLL)</t>
        </is>
      </c>
    </row>
    <row r="2" ht="22" customHeight="1">
      <c r="A2" s="2" t="inlineStr">
        <is>
          <t>Master Karyawan, Jam Lembur, Tunjangan, Potongan &amp; Perhitungan Gaji Bersih</t>
        </is>
      </c>
    </row>
    <row r="3" ht="20" customHeight="1">
      <c r="A3" s="3" t="inlineStr">
        <is>
          <t>KETERANGAN: [Hijau Muda = Kolom Input Pengguna] | [Abu-Abu Muda = Rumus Otomatis (Jangan Diubah)] | [Merah Muda = Alert / Peringatan Penting]</t>
        </is>
      </c>
    </row>
    <row r="4"/>
    <row r="5">
      <c r="A5" s="4" t="inlineStr">
        <is>
          <t>No</t>
        </is>
      </c>
      <c r="B5" s="4" t="inlineStr">
        <is>
          <t>ID</t>
        </is>
      </c>
      <c r="C5" s="4" t="inlineStr">
        <is>
          <t>Nama Karyawan</t>
        </is>
      </c>
      <c r="D5" s="4" t="inlineStr">
        <is>
          <t>Jabatan</t>
        </is>
      </c>
      <c r="E5" s="4" t="inlineStr">
        <is>
          <t>Gaji Pokok (Rp)</t>
        </is>
      </c>
      <c r="F5" s="4" t="inlineStr">
        <is>
          <t>Tunjangan (Rp)</t>
        </is>
      </c>
      <c r="G5" s="4" t="inlineStr">
        <is>
          <t>Tarif Lembur</t>
        </is>
      </c>
      <c r="H5" s="4" t="inlineStr">
        <is>
          <t>Jam Lembur</t>
        </is>
      </c>
      <c r="I5" s="4" t="inlineStr">
        <is>
          <t>Uang Lembur (Rp)</t>
        </is>
      </c>
      <c r="J5" s="4" t="inlineStr">
        <is>
          <t>Potongan</t>
        </is>
      </c>
      <c r="K5" s="4" t="inlineStr">
        <is>
          <t>Gaji Bersih Diterima</t>
        </is>
      </c>
    </row>
    <row r="6">
      <c r="A6" s="5" t="n">
        <v>1</v>
      </c>
      <c r="B6" s="5" t="inlineStr">
        <is>
          <t>EMP-01</t>
        </is>
      </c>
      <c r="C6" s="6" t="inlineStr">
        <is>
          <t>Andi Pratama</t>
        </is>
      </c>
      <c r="D6" s="6" t="inlineStr">
        <is>
          <t>Head Barista</t>
        </is>
      </c>
      <c r="E6" s="7" t="n">
        <v>3500000</v>
      </c>
      <c r="F6" s="7" t="n">
        <v>500000</v>
      </c>
      <c r="G6" s="7" t="n">
        <v>25000</v>
      </c>
      <c r="H6" s="8" t="n">
        <v>12</v>
      </c>
      <c r="I6" s="9">
        <f>H6*G6</f>
        <v/>
      </c>
      <c r="J6" s="7" t="n">
        <v>100000</v>
      </c>
      <c r="K6" s="10">
        <f>E6+F6+I6-J6</f>
        <v/>
      </c>
    </row>
    <row r="7">
      <c r="A7" s="5" t="n">
        <v>2</v>
      </c>
      <c r="B7" s="5" t="inlineStr">
        <is>
          <t>EMP-02</t>
        </is>
      </c>
      <c r="C7" s="6" t="inlineStr">
        <is>
          <t>Rina Marlina</t>
        </is>
      </c>
      <c r="D7" s="6" t="inlineStr">
        <is>
          <t>Kasir Toko</t>
        </is>
      </c>
      <c r="E7" s="7" t="n">
        <v>3000000</v>
      </c>
      <c r="F7" s="7" t="n">
        <v>400000</v>
      </c>
      <c r="G7" s="7" t="n">
        <v>20000</v>
      </c>
      <c r="H7" s="8" t="n">
        <v>8</v>
      </c>
      <c r="I7" s="9">
        <f>H7*G7</f>
        <v/>
      </c>
      <c r="J7" s="7" t="n">
        <v>50000</v>
      </c>
      <c r="K7" s="10">
        <f>E7+F7+I7-J7</f>
        <v/>
      </c>
    </row>
    <row r="8">
      <c r="A8" s="5" t="n">
        <v>3</v>
      </c>
      <c r="B8" s="5" t="inlineStr">
        <is>
          <t>EMP-03</t>
        </is>
      </c>
      <c r="C8" s="6" t="inlineStr">
        <is>
          <t>Doni Saputra</t>
        </is>
      </c>
      <c r="D8" s="6" t="inlineStr">
        <is>
          <t>Junior Barista</t>
        </is>
      </c>
      <c r="E8" s="7" t="n">
        <v>2800000</v>
      </c>
      <c r="F8" s="7" t="n">
        <v>300000</v>
      </c>
      <c r="G8" s="7" t="n">
        <v>20000</v>
      </c>
      <c r="H8" s="8" t="n">
        <v>15</v>
      </c>
      <c r="I8" s="9">
        <f>H8*G8</f>
        <v/>
      </c>
      <c r="J8" s="7" t="n">
        <v>50000</v>
      </c>
      <c r="K8" s="10">
        <f>E8+F8+I8-J8</f>
        <v/>
      </c>
    </row>
    <row r="9">
      <c r="A9" s="11" t="n"/>
      <c r="B9" s="11" t="n"/>
      <c r="C9" s="11" t="n"/>
      <c r="D9" s="12" t="inlineStr">
        <is>
          <t>TOTAL PENGELUARAN GAJI:</t>
        </is>
      </c>
      <c r="E9" s="11" t="n"/>
      <c r="F9" s="11" t="n"/>
      <c r="G9" s="11" t="n"/>
      <c r="H9" s="11" t="n"/>
      <c r="I9" s="11" t="n"/>
      <c r="J9" s="11" t="n"/>
      <c r="K9" s="13">
        <f>SUM(K6:K8)</f>
        <v/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2026-10-26T04:56:06Z</dcterms:created>
  <dcterms:modified xsi:type="dcterms:W3CDTF">2026-10-26T04:56:06Z</dcterms:modified>
</cp:coreProperties>
</file>