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ANDUAN_PENGGUNAAN" sheetId="1" state="visible" r:id="rId1"/>
    <sheet name="01_DASHBOARD" sheetId="2" state="visible" r:id="rId2"/>
    <sheet name="02_PENJUALAN_CRM" sheetId="3" state="visible" r:id="rId3"/>
    <sheet name="03_STOK_INVENTORI" sheetId="4" state="visible" r:id="rId4"/>
    <sheet name="04_KEUANGAN_KAS" sheetId="5" state="visible" r:id="rId5"/>
    <sheet name="05_HARGA_HPP_BEP" sheetId="6" state="visible" r:id="rId6"/>
    <sheet name="06_SDM_PAYROLL" sheetId="7" state="visible" r:id="rId7"/>
    <sheet name="07_MARKETING_OMNI" sheetId="8" state="visible" r:id="rId8"/>
    <sheet name="08_OPERASIONAL" sheetId="9" state="visible" r:id="rId9"/>
    <sheet name="09_AKUNTANSI_PAJA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;(&quot;Rp&quot;#,##0);&quot;-&quot;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1E293B"/>
      <sz val="12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b val="1"/>
      <color rgb="000F172A"/>
      <sz val="16"/>
    </font>
    <font>
      <name val="Segoe UI"/>
      <b val="1"/>
      <color rgb="001E293B"/>
      <sz val="10"/>
    </font>
    <font>
      <name val="Segoe UI"/>
      <b val="1"/>
      <color rgb="00DC2626"/>
      <sz val="10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1D4ED8"/>
        <bgColor rgb="001D4ED8"/>
      </patternFill>
    </fill>
    <fill>
      <patternFill patternType="solid">
        <fgColor rgb="006D28D9"/>
        <bgColor rgb="006D28D9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5" fillId="10" borderId="2" pivotButton="0" quotePrefix="0" xfId="0"/>
    <xf numFmtId="164" fontId="5" fillId="10" borderId="2" applyAlignment="1" pivotButton="0" quotePrefix="0" xfId="0">
      <alignment horizontal="right" vertical="center"/>
    </xf>
    <xf numFmtId="165" fontId="5" fillId="10" borderId="2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10" borderId="2" pivotButton="0" quotePrefix="0" xfId="0"/>
    <xf numFmtId="0" fontId="5" fillId="10" borderId="2" applyAlignment="1" pivotButton="0" quotePrefix="0" xfId="0">
      <alignment horizontal="right" vertical="center"/>
    </xf>
    <xf numFmtId="3" fontId="5" fillId="10" borderId="2" pivotButton="0" quotePrefix="0" xfId="0"/>
    <xf numFmtId="164" fontId="5" fillId="1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3" borderId="1" pivotButton="0" quotePrefix="0" xfId="0"/>
    <xf numFmtId="164" fontId="0" fillId="7" borderId="1" pivotButton="0" quotePrefix="0" xfId="0"/>
    <xf numFmtId="165" fontId="0" fillId="7" borderId="1" pivotButton="0" quotePrefix="0" xfId="0"/>
    <xf numFmtId="165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right" vertical="center"/>
    </xf>
    <xf numFmtId="0" fontId="5" fillId="0" borderId="2" pivotButton="0" quotePrefix="0" xfId="0"/>
    <xf numFmtId="0" fontId="0" fillId="0" borderId="2" pivotButton="0" quotePrefix="0" xfId="0"/>
    <xf numFmtId="164" fontId="11" fillId="6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3" fontId="0" fillId="3" borderId="1" pivotButton="0" quotePrefix="0" xfId="0"/>
    <xf numFmtId="164" fontId="5" fillId="10" borderId="1" pivotButton="0" quotePrefix="0" xfId="0"/>
    <xf numFmtId="2" fontId="5" fillId="7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164" fontId="0" fillId="4" borderId="1" pivotButton="0" quotePrefix="0" xfId="0"/>
    <xf numFmtId="165" fontId="0" fillId="4" borderId="1" pivotButton="0" quotePrefix="0" xfId="0"/>
    <xf numFmtId="164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Omzet per Kanal Penjualan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'01_DASHBOARD'!C10</f>
            </strRef>
          </tx>
          <spPr>
            <a:ln>
              <a:prstDash val="solid"/>
            </a:ln>
          </spPr>
          <cat>
            <numRef>
              <f>'01_DASHBOARD'!$B$11:$B$15</f>
            </numRef>
          </cat>
          <val>
            <numRef>
              <f>'01_DASHBOARD'!$C$11:$C$15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Kanal Penjualan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Omzet (Rupiah)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Komposisi Alokasi Biaya &amp; Beban Usaha</a:t>
            </a:r>
          </a:p>
        </rich>
      </tx>
    </title>
    <plotArea>
      <pieChart>
        <varyColors val="1"/>
        <ser>
          <idx val="0"/>
          <order val="0"/>
          <tx>
            <strRef>
              <f>'01_DASHBOARD'!C19</f>
            </strRef>
          </tx>
          <spPr>
            <a:ln>
              <a:prstDash val="solid"/>
            </a:ln>
          </spPr>
          <cat>
            <numRef>
              <f>'01_DASHBOARD'!$B$20:$B$24</f>
            </numRef>
          </cat>
          <val>
            <numRef>
              <f>'01_DASHBOARD'!$C$20:$C$24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9" customWidth="1" min="2" max="2"/>
    <col width="20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1" t="inlineStr">
        <is>
          <t>SUITE TEMPLATE EXCEL SUPER LENGKAP UMKM - COOCA INDONESIA</t>
        </is>
      </c>
    </row>
    <row r="2" ht="22" customHeight="1">
      <c r="A2" s="2" t="inlineStr">
        <is>
          <t>Panduan Operasional Bisnis Terpadu: Penjualan, Stok, Keuangan, HPP, SDM, Marketing, Operasional &amp; Pajak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SELAMAT DATANG DI SUITE DIGITAL OPERASIONAL BISNIS UMKM</t>
        </is>
      </c>
    </row>
    <row r="6"/>
    <row r="7" ht="28" customHeight="1">
      <c r="B7" s="5" t="inlineStr">
        <is>
          <t>Tujuan Template</t>
        </is>
      </c>
      <c r="C7" s="6" t="inlineStr">
        <is>
          <t>Menyediakan sistem pencatatan, kalkulasi, dan analisis data bisnis UMKM siap pakai tanpa perlu keahlian rumus spreadsheet yang rumit.</t>
        </is>
      </c>
      <c r="D7" s="7" t="n"/>
      <c r="E7" s="7" t="n"/>
      <c r="F7" s="7" t="n"/>
      <c r="G7" s="7" t="n"/>
      <c r="H7" s="7" t="n"/>
      <c r="I7" s="7" t="n"/>
    </row>
    <row r="8" ht="28" customHeight="1">
      <c r="B8" s="5" t="inlineStr">
        <is>
          <t>Prinsip Input Data</t>
        </is>
      </c>
      <c r="C8" s="6" t="inlineStr">
        <is>
          <t>Anda HANYA perlu memasukkan data pada kolom berwarna HIJAU MUDA. Semua kolom abu-abu dihitung otomatis oleh formula Excel.</t>
        </is>
      </c>
      <c r="D8" s="7" t="n"/>
      <c r="E8" s="7" t="n"/>
      <c r="F8" s="7" t="n"/>
      <c r="G8" s="7" t="n"/>
      <c r="H8" s="7" t="n"/>
      <c r="I8" s="7" t="n"/>
    </row>
    <row r="9" ht="28" customHeight="1">
      <c r="B9" s="5" t="inlineStr">
        <is>
          <t>Navigasi Sheet</t>
        </is>
      </c>
      <c r="C9" s="6" t="inlineStr">
        <is>
          <t>Gunakan tab sheet di bagian bawah untuk berpindah antar modul manajemen (Penjualan, Stok, Kas, HPP/BEP, SDM, Marketing, Operasional, Pajak).</t>
        </is>
      </c>
      <c r="D9" s="7" t="n"/>
      <c r="E9" s="7" t="n"/>
      <c r="F9" s="7" t="n"/>
      <c r="G9" s="7" t="n"/>
      <c r="H9" s="7" t="n"/>
      <c r="I9" s="7" t="n"/>
    </row>
    <row r="10" ht="28" customHeight="1">
      <c r="B10" s="5" t="inlineStr">
        <is>
          <t>Grafik &amp; Analisis</t>
        </is>
      </c>
      <c r="C10" s="6" t="inlineStr">
        <is>
          <t>Dashboard Utama menyajikan ringkasan visual performa usaha secara real-time yang langsung bersumber dari sheet transaksi Anda.</t>
        </is>
      </c>
      <c r="D10" s="7" t="n"/>
      <c r="E10" s="7" t="n"/>
      <c r="F10" s="7" t="n"/>
      <c r="G10" s="7" t="n"/>
      <c r="H10" s="7" t="n"/>
      <c r="I10" s="7" t="n"/>
    </row>
    <row r="11" ht="28" customHeight="1">
      <c r="B11" s="5" t="inlineStr">
        <is>
          <t>Penyimpanan &amp; Keamanan</t>
        </is>
      </c>
      <c r="C11" s="6" t="inlineStr">
        <is>
          <t>Simpan salinan (backup) berkas ini secara berkala ke Google Drive / OneDrive atau storage lokal komputer Anda.</t>
        </is>
      </c>
      <c r="D11" s="7" t="n"/>
      <c r="E11" s="7" t="n"/>
      <c r="F11" s="7" t="n"/>
      <c r="G11" s="7" t="n"/>
      <c r="H11" s="7" t="n"/>
      <c r="I11" s="7" t="n"/>
    </row>
    <row r="12" ht="28" customHeight="1">
      <c r="B12" s="5" t="inlineStr">
        <is>
          <t>Migrasi ke Sistem Cloud</t>
        </is>
      </c>
      <c r="C12" s="6" t="inlineStr">
        <is>
          <t>Bila bisnis Anda telah berkembang dan membutuhkan multi-kasir, multi-cabang, serta integrasi QRIS/WhatsApp otomatis, data template ini dapat langsung dimigrasikan ke platform COOCA (https://cooca.id).</t>
        </is>
      </c>
      <c r="D12" s="7" t="n"/>
      <c r="E12" s="7" t="n"/>
      <c r="F12" s="7" t="n"/>
      <c r="G12" s="7" t="n"/>
      <c r="H12" s="7" t="n"/>
      <c r="I12" s="7" t="n"/>
    </row>
    <row r="13"/>
    <row r="14"/>
    <row r="15">
      <c r="B15" s="4" t="inlineStr">
        <is>
          <t>STRUKTUR MODUL DALAM WORKBOOK INI</t>
        </is>
      </c>
    </row>
    <row r="16">
      <c r="B16" s="8" t="inlineStr">
        <is>
          <t>Nama Sheet</t>
        </is>
      </c>
      <c r="C16" s="8" t="inlineStr">
        <is>
          <t>Fungsi dan Fitur Modul</t>
        </is>
      </c>
      <c r="D16" s="7" t="n"/>
      <c r="E16" s="7" t="n"/>
      <c r="F16" s="7" t="n"/>
      <c r="G16" s="7" t="n"/>
      <c r="H16" s="7" t="n"/>
      <c r="I16" s="7" t="n"/>
    </row>
    <row r="17">
      <c r="B17" s="5" t="inlineStr">
        <is>
          <t>01_DASHBOARD</t>
        </is>
      </c>
      <c r="C17" s="6" t="inlineStr">
        <is>
          <t>Ringkasan Eksekutif, Scorecard KPI Omzet &amp; Biaya, Grafik Penjualan dan Alokasi Beban</t>
        </is>
      </c>
      <c r="D17" s="7" t="n"/>
      <c r="E17" s="7" t="n"/>
      <c r="F17" s="7" t="n"/>
      <c r="G17" s="7" t="n"/>
      <c r="H17" s="7" t="n"/>
      <c r="I17" s="7" t="n"/>
    </row>
    <row r="18">
      <c r="B18" s="5" t="inlineStr">
        <is>
          <t>02_PENJUALAN_CRM</t>
        </is>
      </c>
      <c r="C18" s="6" t="inlineStr">
        <is>
          <t>Bagian A: Log Penjualan Harian, Rekap Bulanan, Database Pelanggan CRM, Komisi Sales</t>
        </is>
      </c>
      <c r="D18" s="7" t="n"/>
      <c r="E18" s="7" t="n"/>
      <c r="F18" s="7" t="n"/>
      <c r="G18" s="7" t="n"/>
      <c r="H18" s="7" t="n"/>
      <c r="I18" s="7" t="n"/>
    </row>
    <row r="19">
      <c r="B19" s="5" t="inlineStr">
        <is>
          <t>03_STOK_INVENTORI</t>
        </is>
      </c>
      <c r="C19" s="6" t="inlineStr">
        <is>
          <t>Bagian B: Master SKU, Kartu Stok Otomatis, Mutasi Masuk/Keluar, Restock Alert, Stock Opname</t>
        </is>
      </c>
      <c r="D19" s="7" t="n"/>
      <c r="E19" s="7" t="n"/>
      <c r="F19" s="7" t="n"/>
      <c r="G19" s="7" t="n"/>
      <c r="H19" s="7" t="n"/>
      <c r="I19" s="7" t="n"/>
    </row>
    <row r="20">
      <c r="B20" s="5" t="inlineStr">
        <is>
          <t>04_KEUANGAN_KAS</t>
        </is>
      </c>
      <c r="C20" s="6" t="inlineStr">
        <is>
          <t>Bagian C: Buku Kas Harian, Arus Kas, Laba Rugi Otomatis, Rekap Piutang &amp; Utang Jatuh Tempo</t>
        </is>
      </c>
      <c r="D20" s="7" t="n"/>
      <c r="E20" s="7" t="n"/>
      <c r="F20" s="7" t="n"/>
      <c r="G20" s="7" t="n"/>
      <c r="H20" s="7" t="n"/>
      <c r="I20" s="7" t="n"/>
    </row>
    <row r="21">
      <c r="B21" s="5" t="inlineStr">
        <is>
          <t>05_HARGA_HPP_BEP</t>
        </is>
      </c>
      <c r="C21" s="6" t="inlineStr">
        <is>
          <t>Bagian D: Kalkulator HPP Produksi, Markup/Margin Harga Jual, Titik Impas (BEP) Unit &amp; Rp</t>
        </is>
      </c>
      <c r="D21" s="7" t="n"/>
      <c r="E21" s="7" t="n"/>
      <c r="F21" s="7" t="n"/>
      <c r="G21" s="7" t="n"/>
      <c r="H21" s="7" t="n"/>
      <c r="I21" s="7" t="n"/>
    </row>
    <row r="22">
      <c r="B22" s="5" t="inlineStr">
        <is>
          <t>06_SDM_PAYROLL</t>
        </is>
      </c>
      <c r="C22" s="6" t="inlineStr">
        <is>
          <t>Bagian E: Master Karyawan, Rekap Absensi &amp; Lembur, Perhitungan Gaji Bersih (Take Home Pay)</t>
        </is>
      </c>
      <c r="D22" s="7" t="n"/>
      <c r="E22" s="7" t="n"/>
      <c r="F22" s="7" t="n"/>
      <c r="G22" s="7" t="n"/>
      <c r="H22" s="7" t="n"/>
      <c r="I22" s="7" t="n"/>
    </row>
    <row r="23">
      <c r="B23" s="5" t="inlineStr">
        <is>
          <t>07_MARKETING_OMNI</t>
        </is>
      </c>
      <c r="C23" s="6" t="inlineStr">
        <is>
          <t>Bagian F: Kalender Konten Medsos, Rekap Marketplace (Shopee/Tokped/TikTok), Analisis ROAS Iklan</t>
        </is>
      </c>
      <c r="D23" s="7" t="n"/>
      <c r="E23" s="7" t="n"/>
      <c r="F23" s="7" t="n"/>
      <c r="G23" s="7" t="n"/>
      <c r="H23" s="7" t="n"/>
      <c r="I23" s="7" t="n"/>
    </row>
    <row r="24">
      <c r="B24" s="5" t="inlineStr">
        <is>
          <t>08_OPERASIONAL</t>
        </is>
      </c>
      <c r="C24" s="6" t="inlineStr">
        <is>
          <t>Bagian G: Checklist Buka/Tutup Toko, SOP Pekerjaan, Jadwal Servis Aset, Log Komplain Pelanggan</t>
        </is>
      </c>
      <c r="D24" s="7" t="n"/>
      <c r="E24" s="7" t="n"/>
      <c r="F24" s="7" t="n"/>
      <c r="G24" s="7" t="n"/>
      <c r="H24" s="7" t="n"/>
      <c r="I24" s="7" t="n"/>
    </row>
    <row r="25">
      <c r="B25" s="5" t="inlineStr">
        <is>
          <t>09_AKUNTANSI_PAJAK</t>
        </is>
      </c>
      <c r="C25" s="6" t="inlineStr">
        <is>
          <t>Bagian H: Jurnal Umum Debit/Kredit, Neraca Saldo, Penyusutan Aset, Rekap PPh Final UMKM 0.5%</t>
        </is>
      </c>
      <c r="D25" s="7" t="n"/>
      <c r="E25" s="7" t="n"/>
      <c r="F25" s="7" t="n"/>
      <c r="G25" s="7" t="n"/>
      <c r="H25" s="7" t="n"/>
      <c r="I25" s="7" t="n"/>
    </row>
  </sheetData>
  <mergeCells count="19">
    <mergeCell ref="C23:I23"/>
    <mergeCell ref="C17:I17"/>
    <mergeCell ref="C8:I8"/>
    <mergeCell ref="C7:I7"/>
    <mergeCell ref="C19:I19"/>
    <mergeCell ref="C18:I18"/>
    <mergeCell ref="C24:I24"/>
    <mergeCell ref="A1:J1"/>
    <mergeCell ref="C20:I20"/>
    <mergeCell ref="C10:I10"/>
    <mergeCell ref="C16:I16"/>
    <mergeCell ref="C25:I25"/>
    <mergeCell ref="C22:I22"/>
    <mergeCell ref="C9:I9"/>
    <mergeCell ref="A3:J3"/>
    <mergeCell ref="C21:I21"/>
    <mergeCell ref="C12:I12"/>
    <mergeCell ref="A2:J2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16" customWidth="1" min="4" max="4"/>
    <col width="25" customWidth="1" min="5" max="5"/>
    <col width="13" customWidth="1" min="6" max="6"/>
    <col width="13" customWidth="1" min="7" max="7"/>
    <col width="24" customWidth="1" min="8" max="8"/>
    <col width="13" customWidth="1" min="9" max="9"/>
    <col width="13" customWidth="1" min="10" max="10"/>
    <col width="25" customWidth="1" min="11" max="11"/>
    <col width="13" customWidth="1" min="12" max="12"/>
    <col width="13" customWidth="1" min="13" max="13"/>
    <col width="13" customWidth="1" min="14" max="14"/>
  </cols>
  <sheetData>
    <row r="1" ht="34" customHeight="1">
      <c r="A1" s="1" t="inlineStr">
        <is>
          <t>EXECUTIVE COCKPIT &amp; DASHBOARD KINERJA USAHA</t>
        </is>
      </c>
    </row>
    <row r="2" ht="22" customHeight="1">
      <c r="A2" s="2" t="inlineStr">
        <is>
          <t>Ringkasan Indikator Kunci (KPI), Tren Penjualan Multi-Kanal &amp; Distribusi Beban Operasional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9" t="inlineStr">
        <is>
          <t>TOTAL OMZET BULAN INI</t>
        </is>
      </c>
      <c r="C5" s="7" t="n"/>
      <c r="E5" s="10" t="inlineStr">
        <is>
          <t>TOTAL PENGELUARAN KAS</t>
        </is>
      </c>
      <c r="F5" s="7" t="n"/>
      <c r="H5" s="11" t="inlineStr">
        <is>
          <t>LABA BERSIH ESTIMASI</t>
        </is>
      </c>
      <c r="I5" s="7" t="n"/>
      <c r="K5" s="12" t="inlineStr">
        <is>
          <t>NILAI ASET PERSEDIAAN</t>
        </is>
      </c>
      <c r="L5" s="7" t="n"/>
    </row>
    <row r="6">
      <c r="B6" s="13">
        <f>SUM('02_PENJUALAN_CRM'!J6:J25)</f>
        <v/>
      </c>
      <c r="C6" s="7" t="n"/>
      <c r="E6" s="13">
        <f>SUM('04_KEUANGAN_KAS'!G6:G25)</f>
        <v/>
      </c>
      <c r="F6" s="7" t="n"/>
      <c r="H6" s="13">
        <f>'01_DASHBOARD'!B7-'01_DASHBOARD'!E7</f>
        <v/>
      </c>
      <c r="I6" s="7" t="n"/>
      <c r="K6" s="13">
        <f>SUM('03_STOK_INVENTORI'!L6:L20)</f>
        <v/>
      </c>
      <c r="L6" s="7" t="n"/>
    </row>
    <row r="7">
      <c r="B7" s="7" t="n"/>
      <c r="C7" s="7" t="n"/>
      <c r="E7" s="7" t="n"/>
      <c r="F7" s="7" t="n"/>
      <c r="H7" s="7" t="n"/>
      <c r="I7" s="7" t="n"/>
      <c r="K7" s="7" t="n"/>
      <c r="L7" s="7" t="n"/>
    </row>
    <row r="8"/>
    <row r="9">
      <c r="B9" s="4" t="inlineStr">
        <is>
          <t>RINGKASAN PENJUALAN PER KANAL</t>
        </is>
      </c>
    </row>
    <row r="10">
      <c r="B10" s="10" t="inlineStr">
        <is>
          <t>Kanal Penjualan</t>
        </is>
      </c>
      <c r="C10" s="10" t="inlineStr">
        <is>
          <t>Total Omzet (Rp)</t>
        </is>
      </c>
      <c r="D10" s="10" t="inlineStr">
        <is>
          <t>Persentase</t>
        </is>
      </c>
    </row>
    <row r="11">
      <c r="B11" s="6" t="inlineStr">
        <is>
          <t>Toko Offline / POS</t>
        </is>
      </c>
      <c r="C11" s="14" t="n">
        <v>12500000</v>
      </c>
      <c r="D11" s="15">
        <f>C11/SUM($C$11:$C$15)</f>
        <v/>
      </c>
    </row>
    <row r="12">
      <c r="B12" s="6" t="inlineStr">
        <is>
          <t>Shopee</t>
        </is>
      </c>
      <c r="C12" s="14" t="n">
        <v>18200000</v>
      </c>
      <c r="D12" s="15">
        <f>C12/SUM($C$11:$C$15)</f>
        <v/>
      </c>
    </row>
    <row r="13">
      <c r="B13" s="6" t="inlineStr">
        <is>
          <t>Tokopedia</t>
        </is>
      </c>
      <c r="C13" s="14" t="n">
        <v>9400000</v>
      </c>
      <c r="D13" s="15">
        <f>C13/SUM($C$11:$C$15)</f>
        <v/>
      </c>
    </row>
    <row r="14">
      <c r="B14" s="6" t="inlineStr">
        <is>
          <t>TikTok Shop</t>
        </is>
      </c>
      <c r="C14" s="14" t="n">
        <v>14600000</v>
      </c>
      <c r="D14" s="15">
        <f>C14/SUM($C$11:$C$15)</f>
        <v/>
      </c>
    </row>
    <row r="15">
      <c r="B15" s="6" t="inlineStr">
        <is>
          <t>WhatsApp &amp; B2B Direct</t>
        </is>
      </c>
      <c r="C15" s="14" t="n">
        <v>6300000</v>
      </c>
      <c r="D15" s="15">
        <f>C15/SUM($C$11:$C$15)</f>
        <v/>
      </c>
    </row>
    <row r="16">
      <c r="B16" s="16" t="inlineStr">
        <is>
          <t>TOTAL OMZET</t>
        </is>
      </c>
      <c r="C16" s="17">
        <f>SUM(C11:C15)</f>
        <v/>
      </c>
      <c r="D16" s="18">
        <f>SUM(D11:D15)</f>
        <v/>
      </c>
    </row>
    <row r="17"/>
    <row r="18">
      <c r="B18" s="4" t="inlineStr">
        <is>
          <t>ALOKASI BIAYA &amp; BEBAN USAHA</t>
        </is>
      </c>
    </row>
    <row r="19">
      <c r="B19" s="10" t="inlineStr">
        <is>
          <t>Kategori Beban</t>
        </is>
      </c>
      <c r="C19" s="10" t="inlineStr">
        <is>
          <t>Jumlah (Rp)</t>
        </is>
      </c>
      <c r="D19" s="10" t="inlineStr">
        <is>
          <t>Porsi</t>
        </is>
      </c>
    </row>
    <row r="20">
      <c r="B20" s="6" t="inlineStr">
        <is>
          <t>Beban Pokok Penjualan (HPP)</t>
        </is>
      </c>
      <c r="C20" s="14" t="n">
        <v>28500000</v>
      </c>
      <c r="D20" s="15">
        <f>C20/SUM($C$20:$C$24)</f>
        <v/>
      </c>
    </row>
    <row r="21">
      <c r="B21" s="6" t="inlineStr">
        <is>
          <t>Gaji Karyawan &amp; Upah</t>
        </is>
      </c>
      <c r="C21" s="14" t="n">
        <v>9200000</v>
      </c>
      <c r="D21" s="15">
        <f>C21/SUM($C$20:$C$24)</f>
        <v/>
      </c>
    </row>
    <row r="22">
      <c r="B22" s="6" t="inlineStr">
        <is>
          <t>Sewa Tempat &amp; Utilitas</t>
        </is>
      </c>
      <c r="C22" s="14" t="n">
        <v>3500000</v>
      </c>
      <c r="D22" s="15">
        <f>C22/SUM($C$20:$C$24)</f>
        <v/>
      </c>
    </row>
    <row r="23">
      <c r="B23" s="6" t="inlineStr">
        <is>
          <t>Pemasaran &amp; Iklan Medsos</t>
        </is>
      </c>
      <c r="C23" s="14" t="n">
        <v>4200000</v>
      </c>
      <c r="D23" s="15">
        <f>C23/SUM($C$20:$C$24)</f>
        <v/>
      </c>
    </row>
    <row r="24">
      <c r="B24" s="6" t="inlineStr">
        <is>
          <t>Operasional, Logistik &amp; Lainnya</t>
        </is>
      </c>
      <c r="C24" s="14" t="n">
        <v>2100000</v>
      </c>
      <c r="D24" s="15">
        <f>C24/SUM($C$20:$C$24)</f>
        <v/>
      </c>
    </row>
    <row r="25">
      <c r="B25" s="16" t="inlineStr">
        <is>
          <t>TOTAL BIAYA</t>
        </is>
      </c>
      <c r="C25" s="17">
        <f>SUM(C20:C24)</f>
        <v/>
      </c>
      <c r="D25" s="18">
        <f>SUM(D20:D24)</f>
        <v/>
      </c>
    </row>
  </sheetData>
  <mergeCells count="11">
    <mergeCell ref="A2:L2"/>
    <mergeCell ref="E6:F7"/>
    <mergeCell ref="H6:I7"/>
    <mergeCell ref="B5:C5"/>
    <mergeCell ref="K6:L7"/>
    <mergeCell ref="A1:L1"/>
    <mergeCell ref="E5:F5"/>
    <mergeCell ref="K5:L5"/>
    <mergeCell ref="B6:C7"/>
    <mergeCell ref="H5:I5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21" customWidth="1" min="3" max="3"/>
    <col width="24" customWidth="1" min="4" max="4"/>
    <col width="16" customWidth="1" min="5" max="5"/>
    <col width="18" customWidth="1" min="6" max="6"/>
    <col width="30" customWidth="1" min="7" max="7"/>
    <col width="16" customWidth="1" min="8" max="8"/>
    <col width="16" customWidth="1" min="9" max="9"/>
    <col width="16" customWidth="1" min="10" max="10"/>
    <col width="16" customWidth="1" min="11" max="11"/>
    <col width="21" customWidth="1" min="12" max="12"/>
    <col width="19" customWidth="1" min="13" max="13"/>
    <col width="21" customWidth="1" min="14" max="14"/>
    <col width="13" customWidth="1" min="15" max="15"/>
    <col width="13" customWidth="1" min="16" max="16"/>
  </cols>
  <sheetData>
    <row r="1" ht="34" customHeight="1">
      <c r="A1" s="1" t="inlineStr">
        <is>
          <t>BAGIAN A: PENJUALAN, PESANAN, CRM &amp; KOMISI SALES</t>
        </is>
      </c>
    </row>
    <row r="2" ht="22" customHeight="1">
      <c r="A2" s="2" t="inlineStr">
        <is>
          <t>Catatan Transaksi Harian, Status Bayar, Database Pelanggan &amp; Komisi Tim Penjualan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10" t="inlineStr">
        <is>
          <t>No</t>
        </is>
      </c>
      <c r="B5" s="10" t="inlineStr">
        <is>
          <t>Tanggal</t>
        </is>
      </c>
      <c r="C5" s="10" t="inlineStr">
        <is>
          <t>No Invoice</t>
        </is>
      </c>
      <c r="D5" s="10" t="inlineStr">
        <is>
          <t>Nama Pelanggan</t>
        </is>
      </c>
      <c r="E5" s="10" t="inlineStr">
        <is>
          <t>WhatsApp</t>
        </is>
      </c>
      <c r="F5" s="10" t="inlineStr">
        <is>
          <t>Kanal</t>
        </is>
      </c>
      <c r="G5" s="10" t="inlineStr">
        <is>
          <t>Produk / SKU</t>
        </is>
      </c>
      <c r="H5" s="10" t="inlineStr">
        <is>
          <t>Qty</t>
        </is>
      </c>
      <c r="I5" s="10" t="inlineStr">
        <is>
          <t>Harga Satuan</t>
        </is>
      </c>
      <c r="J5" s="10" t="inlineStr">
        <is>
          <t>Total Kotor</t>
        </is>
      </c>
      <c r="K5" s="10" t="inlineStr">
        <is>
          <t>Diskon (Rp)</t>
        </is>
      </c>
      <c r="L5" s="10" t="inlineStr">
        <is>
          <t>Total Bersih (Rp)</t>
        </is>
      </c>
      <c r="M5" s="10" t="inlineStr">
        <is>
          <t>Metode Bayar</t>
        </is>
      </c>
      <c r="N5" s="10" t="inlineStr">
        <is>
          <t>Status Pembayaran</t>
        </is>
      </c>
      <c r="O5" s="10" t="inlineStr">
        <is>
          <t>Sales PIC</t>
        </is>
      </c>
    </row>
    <row r="6">
      <c r="A6" s="19" t="n">
        <v>1</v>
      </c>
      <c r="B6" s="19" t="inlineStr">
        <is>
          <t>2026-10-01</t>
        </is>
      </c>
      <c r="C6" s="19" t="inlineStr">
        <is>
          <t>INV-2026-001</t>
        </is>
      </c>
      <c r="D6" s="20" t="inlineStr">
        <is>
          <t>Budi Santoso</t>
        </is>
      </c>
      <c r="E6" s="19" t="inlineStr">
        <is>
          <t>081234567890</t>
        </is>
      </c>
      <c r="F6" s="20" t="inlineStr">
        <is>
          <t>Toko Offline</t>
        </is>
      </c>
      <c r="G6" s="20" t="inlineStr">
        <is>
          <t>Kopi Susu Gula Aren</t>
        </is>
      </c>
      <c r="H6" s="21" t="n">
        <v>5</v>
      </c>
      <c r="I6" s="22" t="n">
        <v>18000</v>
      </c>
      <c r="J6" s="23">
        <f>H6*I6</f>
        <v/>
      </c>
      <c r="K6" s="22" t="n">
        <v>0</v>
      </c>
      <c r="L6" s="23">
        <f>J6-K6</f>
        <v/>
      </c>
      <c r="M6" s="19" t="inlineStr">
        <is>
          <t>QRIS</t>
        </is>
      </c>
      <c r="N6" s="24" t="inlineStr">
        <is>
          <t>Lunas</t>
        </is>
      </c>
      <c r="O6" s="19" t="inlineStr">
        <is>
          <t>Andi</t>
        </is>
      </c>
    </row>
    <row r="7">
      <c r="A7" s="19" t="n">
        <v>2</v>
      </c>
      <c r="B7" s="19" t="inlineStr">
        <is>
          <t>2026-10-01</t>
        </is>
      </c>
      <c r="C7" s="19" t="inlineStr">
        <is>
          <t>INV-2026-002</t>
        </is>
      </c>
      <c r="D7" s="20" t="inlineStr">
        <is>
          <t>Siti Rahma</t>
        </is>
      </c>
      <c r="E7" s="19" t="inlineStr">
        <is>
          <t>081398765432</t>
        </is>
      </c>
      <c r="F7" s="20" t="inlineStr">
        <is>
          <t>Shopee</t>
        </is>
      </c>
      <c r="G7" s="20" t="inlineStr">
        <is>
          <t>Biji Kopi Robusta 250g</t>
        </is>
      </c>
      <c r="H7" s="21" t="n">
        <v>2</v>
      </c>
      <c r="I7" s="22" t="n">
        <v>65000</v>
      </c>
      <c r="J7" s="23">
        <f>H7*I7</f>
        <v/>
      </c>
      <c r="K7" s="22" t="n">
        <v>5000</v>
      </c>
      <c r="L7" s="23">
        <f>J7-K7</f>
        <v/>
      </c>
      <c r="M7" s="19" t="inlineStr">
        <is>
          <t>Transfer</t>
        </is>
      </c>
      <c r="N7" s="24" t="inlineStr">
        <is>
          <t>Lunas</t>
        </is>
      </c>
      <c r="O7" s="19" t="inlineStr">
        <is>
          <t>Rina</t>
        </is>
      </c>
    </row>
    <row r="8">
      <c r="A8" s="19" t="n">
        <v>3</v>
      </c>
      <c r="B8" s="19" t="inlineStr">
        <is>
          <t>2026-10-02</t>
        </is>
      </c>
      <c r="C8" s="19" t="inlineStr">
        <is>
          <t>INV-2026-003</t>
        </is>
      </c>
      <c r="D8" s="20" t="inlineStr">
        <is>
          <t>Warung Berkah Bu Ani</t>
        </is>
      </c>
      <c r="E8" s="19" t="inlineStr">
        <is>
          <t>081512345678</t>
        </is>
      </c>
      <c r="F8" s="20" t="inlineStr">
        <is>
          <t>WhatsApp / B2B</t>
        </is>
      </c>
      <c r="G8" s="20" t="inlineStr">
        <is>
          <t>Sirup Karamel 1 Liter</t>
        </is>
      </c>
      <c r="H8" s="21" t="n">
        <v>10</v>
      </c>
      <c r="I8" s="22" t="n">
        <v>85000</v>
      </c>
      <c r="J8" s="23">
        <f>H8*I8</f>
        <v/>
      </c>
      <c r="K8" s="22" t="n">
        <v>50000</v>
      </c>
      <c r="L8" s="23">
        <f>J8-K8</f>
        <v/>
      </c>
      <c r="M8" s="19" t="inlineStr">
        <is>
          <t>Tempo (14 Hari)</t>
        </is>
      </c>
      <c r="N8" s="25" t="inlineStr">
        <is>
          <t>Belum Lunas</t>
        </is>
      </c>
      <c r="O8" s="19" t="inlineStr">
        <is>
          <t>Andi</t>
        </is>
      </c>
    </row>
    <row r="9">
      <c r="A9" s="19" t="n">
        <v>4</v>
      </c>
      <c r="B9" s="19" t="inlineStr">
        <is>
          <t>2026-10-02</t>
        </is>
      </c>
      <c r="C9" s="19" t="inlineStr">
        <is>
          <t>INV-2026-004</t>
        </is>
      </c>
      <c r="D9" s="20" t="inlineStr">
        <is>
          <t>Hendro Wijaya</t>
        </is>
      </c>
      <c r="E9" s="19" t="inlineStr">
        <is>
          <t>082155558888</t>
        </is>
      </c>
      <c r="F9" s="20" t="inlineStr">
        <is>
          <t>Tokopedia</t>
        </is>
      </c>
      <c r="G9" s="20" t="inlineStr">
        <is>
          <t>Tumbler Stainless 500ml</t>
        </is>
      </c>
      <c r="H9" s="21" t="n">
        <v>1</v>
      </c>
      <c r="I9" s="22" t="n">
        <v>120000</v>
      </c>
      <c r="J9" s="23">
        <f>H9*I9</f>
        <v/>
      </c>
      <c r="K9" s="22" t="n">
        <v>0</v>
      </c>
      <c r="L9" s="23">
        <f>J9-K9</f>
        <v/>
      </c>
      <c r="M9" s="19" t="inlineStr">
        <is>
          <t>Transfer</t>
        </is>
      </c>
      <c r="N9" s="24" t="inlineStr">
        <is>
          <t>Lunas</t>
        </is>
      </c>
      <c r="O9" s="19" t="inlineStr">
        <is>
          <t>Rina</t>
        </is>
      </c>
    </row>
    <row r="10">
      <c r="A10" s="19" t="n">
        <v>5</v>
      </c>
      <c r="B10" s="19" t="inlineStr">
        <is>
          <t>2026-10-03</t>
        </is>
      </c>
      <c r="C10" s="19" t="inlineStr">
        <is>
          <t>INV-2026-005</t>
        </is>
      </c>
      <c r="D10" s="20" t="inlineStr">
        <is>
          <t>Cafe Senja Bersama</t>
        </is>
      </c>
      <c r="E10" s="19" t="inlineStr">
        <is>
          <t>081744443333</t>
        </is>
      </c>
      <c r="F10" s="20" t="inlineStr">
        <is>
          <t>WhatsApp / B2B</t>
        </is>
      </c>
      <c r="G10" s="20" t="inlineStr">
        <is>
          <t>Kopi Robusta 1kg</t>
        </is>
      </c>
      <c r="H10" s="21" t="n">
        <v>6</v>
      </c>
      <c r="I10" s="22" t="n">
        <v>190000</v>
      </c>
      <c r="J10" s="23">
        <f>H10*I10</f>
        <v/>
      </c>
      <c r="K10" s="22" t="n">
        <v>40000</v>
      </c>
      <c r="L10" s="23">
        <f>J10-K10</f>
        <v/>
      </c>
      <c r="M10" s="19" t="inlineStr">
        <is>
          <t>Tempo (7 Hari)</t>
        </is>
      </c>
      <c r="N10" s="25" t="inlineStr">
        <is>
          <t>Belum Lunas</t>
        </is>
      </c>
      <c r="O10" s="19" t="inlineStr">
        <is>
          <t>Andi</t>
        </is>
      </c>
    </row>
    <row r="11">
      <c r="A11" s="19" t="n">
        <v>6</v>
      </c>
      <c r="B11" s="19" t="inlineStr">
        <is>
          <t>2026-10-03</t>
        </is>
      </c>
      <c r="C11" s="19" t="inlineStr">
        <is>
          <t>INV-2026-006</t>
        </is>
      </c>
      <c r="D11" s="20" t="inlineStr">
        <is>
          <t>Dewi Lestari</t>
        </is>
      </c>
      <c r="E11" s="19" t="inlineStr">
        <is>
          <t>085611223344</t>
        </is>
      </c>
      <c r="F11" s="20" t="inlineStr">
        <is>
          <t>TikTok Shop</t>
        </is>
      </c>
      <c r="G11" s="20" t="inlineStr">
        <is>
          <t>Kopi Susu Literan</t>
        </is>
      </c>
      <c r="H11" s="21" t="n">
        <v>2</v>
      </c>
      <c r="I11" s="22" t="n">
        <v>75000</v>
      </c>
      <c r="J11" s="23">
        <f>H11*I11</f>
        <v/>
      </c>
      <c r="K11" s="22" t="n">
        <v>10000</v>
      </c>
      <c r="L11" s="23">
        <f>J11-K11</f>
        <v/>
      </c>
      <c r="M11" s="19" t="inlineStr">
        <is>
          <t>Transfer</t>
        </is>
      </c>
      <c r="N11" s="24" t="inlineStr">
        <is>
          <t>Lunas</t>
        </is>
      </c>
      <c r="O11" s="19" t="inlineStr">
        <is>
          <t>Rina</t>
        </is>
      </c>
    </row>
    <row r="12">
      <c r="A12" s="19" t="n">
        <v>7</v>
      </c>
      <c r="B12" s="19" t="inlineStr">
        <is>
          <t>2026-10-04</t>
        </is>
      </c>
      <c r="C12" s="19" t="inlineStr">
        <is>
          <t>INV-2026-007</t>
        </is>
      </c>
      <c r="D12" s="20" t="inlineStr">
        <is>
          <t>Ahmad Fauzi</t>
        </is>
      </c>
      <c r="E12" s="19" t="inlineStr">
        <is>
          <t>081988776655</t>
        </is>
      </c>
      <c r="F12" s="20" t="inlineStr">
        <is>
          <t>Toko Offline</t>
        </is>
      </c>
      <c r="G12" s="20" t="inlineStr">
        <is>
          <t>Croissant Almond</t>
        </is>
      </c>
      <c r="H12" s="21" t="n">
        <v>4</v>
      </c>
      <c r="I12" s="22" t="n">
        <v>25000</v>
      </c>
      <c r="J12" s="23">
        <f>H12*I12</f>
        <v/>
      </c>
      <c r="K12" s="22" t="n">
        <v>0</v>
      </c>
      <c r="L12" s="23">
        <f>J12-K12</f>
        <v/>
      </c>
      <c r="M12" s="19" t="inlineStr">
        <is>
          <t>Tunai</t>
        </is>
      </c>
      <c r="N12" s="24" t="inlineStr">
        <is>
          <t>Lunas</t>
        </is>
      </c>
      <c r="O12" s="19" t="inlineStr">
        <is>
          <t>Andi</t>
        </is>
      </c>
    </row>
    <row r="13">
      <c r="A13" s="19" t="n">
        <v>8</v>
      </c>
      <c r="B13" s="19" t="inlineStr">
        <is>
          <t>2026-10-04</t>
        </is>
      </c>
      <c r="C13" s="19" t="inlineStr">
        <is>
          <t>INV-2026-008</t>
        </is>
      </c>
      <c r="D13" s="20" t="inlineStr">
        <is>
          <t>Rudy Pratama</t>
        </is>
      </c>
      <c r="E13" s="19" t="inlineStr">
        <is>
          <t>081299887711</t>
        </is>
      </c>
      <c r="F13" s="20" t="inlineStr">
        <is>
          <t>Shopee</t>
        </is>
      </c>
      <c r="G13" s="20" t="inlineStr">
        <is>
          <t>Drip Bag Coffee Box</t>
        </is>
      </c>
      <c r="H13" s="21" t="n">
        <v>3</v>
      </c>
      <c r="I13" s="22" t="n">
        <v>45000</v>
      </c>
      <c r="J13" s="23">
        <f>H13*I13</f>
        <v/>
      </c>
      <c r="K13" s="22" t="n">
        <v>5000</v>
      </c>
      <c r="L13" s="23">
        <f>J13-K13</f>
        <v/>
      </c>
      <c r="M13" s="19" t="inlineStr">
        <is>
          <t>Transfer</t>
        </is>
      </c>
      <c r="N13" s="24" t="inlineStr">
        <is>
          <t>Lunas</t>
        </is>
      </c>
      <c r="O13" s="19" t="inlineStr">
        <is>
          <t>Rina</t>
        </is>
      </c>
    </row>
    <row r="14">
      <c r="A14" s="26" t="n"/>
      <c r="B14" s="26" t="n"/>
      <c r="C14" s="26" t="n"/>
      <c r="D14" s="26" t="n"/>
      <c r="E14" s="26" t="n"/>
      <c r="F14" s="26" t="n"/>
      <c r="G14" s="27" t="inlineStr">
        <is>
          <t>TOTAL KESELURUHAN:</t>
        </is>
      </c>
      <c r="H14" s="28">
        <f>SUM(H6:H13)</f>
        <v/>
      </c>
      <c r="I14" s="26" t="n"/>
      <c r="J14" s="29">
        <f>SUM(J6:J13)</f>
        <v/>
      </c>
      <c r="K14" s="29">
        <f>SUM(K6:K13)</f>
        <v/>
      </c>
      <c r="L14" s="29">
        <f>SUM(L6:L13)</f>
        <v/>
      </c>
      <c r="M14" s="26" t="n"/>
      <c r="N14" s="26" t="n"/>
      <c r="O14" s="26" t="n"/>
    </row>
    <row r="15"/>
    <row r="16"/>
    <row r="17">
      <c r="A17" s="4" t="inlineStr">
        <is>
          <t>TARGET &amp; PERHITUNGAN KOMISI TIM SALES</t>
        </is>
      </c>
    </row>
    <row r="18">
      <c r="A18" s="12" t="inlineStr">
        <is>
          <t>No</t>
        </is>
      </c>
      <c r="B18" s="12" t="inlineStr">
        <is>
          <t>Nama Sales PIC</t>
        </is>
      </c>
      <c r="C18" s="12" t="inlineStr">
        <is>
          <t>Target Omzet (Rp)</t>
        </is>
      </c>
      <c r="D18" s="12" t="inlineStr">
        <is>
          <t>Realisasi Omzet (Rp)</t>
        </is>
      </c>
      <c r="E18" s="12" t="inlineStr">
        <is>
          <t>% Capaian</t>
        </is>
      </c>
      <c r="F18" s="12" t="inlineStr">
        <is>
          <t>Tarif Komisi</t>
        </is>
      </c>
      <c r="G18" s="12" t="inlineStr">
        <is>
          <t>Total Komisi Diterima (Rp)</t>
        </is>
      </c>
    </row>
    <row r="19">
      <c r="A19" s="30" t="n">
        <v>1</v>
      </c>
      <c r="B19" s="31" t="inlineStr">
        <is>
          <t>Andi</t>
        </is>
      </c>
      <c r="C19" s="32" t="n">
        <v>20000000</v>
      </c>
      <c r="D19" s="33">
        <f>SUMIFS(L$6:L$13, O$6:O$13, "Andi")</f>
        <v/>
      </c>
      <c r="E19" s="34">
        <f>D19/C19</f>
        <v/>
      </c>
      <c r="F19" s="35" t="n">
        <v>0.03</v>
      </c>
      <c r="G19" s="33">
        <f>D19*F19</f>
        <v/>
      </c>
    </row>
    <row r="20">
      <c r="A20" s="30" t="n">
        <v>2</v>
      </c>
      <c r="B20" s="31" t="inlineStr">
        <is>
          <t>Rina</t>
        </is>
      </c>
      <c r="C20" s="32" t="n">
        <v>15000000</v>
      </c>
      <c r="D20" s="33">
        <f>SUMIFS(L$6:L$13, O$6:O$13, "Rina")</f>
        <v/>
      </c>
      <c r="E20" s="34">
        <f>D20/C20</f>
        <v/>
      </c>
      <c r="F20" s="35" t="n">
        <v>0.03</v>
      </c>
      <c r="G20" s="33">
        <f>D20*F20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15" customWidth="1" min="4" max="4"/>
    <col width="21" customWidth="1" min="5" max="5"/>
    <col width="21" customWidth="1" min="6" max="6"/>
    <col width="14" customWidth="1" min="7" max="7"/>
    <col width="13" customWidth="1" min="8" max="8"/>
    <col width="14" customWidth="1" min="9" max="9"/>
    <col width="15" customWidth="1" min="10" max="10"/>
    <col width="19" customWidth="1" min="11" max="11"/>
    <col width="24" customWidth="1" min="12" max="12"/>
    <col width="21" customWidth="1" min="13" max="13"/>
    <col width="16" customWidth="1" min="14" max="14"/>
    <col width="13" customWidth="1" min="15" max="15"/>
  </cols>
  <sheetData>
    <row r="1" ht="34" customHeight="1">
      <c r="A1" s="1" t="inlineStr">
        <is>
          <t>BAGIAN B: MANAJEMEN STOK, SKU, IN/OUT &amp; ALERT RESTOCK</t>
        </is>
      </c>
    </row>
    <row r="2" ht="22" customHeight="1">
      <c r="A2" s="2" t="inlineStr">
        <is>
          <t>Kartu Stok Otomatis, Nilai Persediaan, Monitoring Stok Minimum &amp; Lembar Stock Opname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9" t="inlineStr">
        <is>
          <t>No</t>
        </is>
      </c>
      <c r="B5" s="9" t="inlineStr">
        <is>
          <t>Kode SKU</t>
        </is>
      </c>
      <c r="C5" s="9" t="inlineStr">
        <is>
          <t>Nama Produk Barang</t>
        </is>
      </c>
      <c r="D5" s="9" t="inlineStr">
        <is>
          <t>Kategori</t>
        </is>
      </c>
      <c r="E5" s="9" t="inlineStr">
        <is>
          <t>Satuan</t>
        </is>
      </c>
      <c r="F5" s="9" t="inlineStr">
        <is>
          <t>Harga Modal (HPP)</t>
        </is>
      </c>
      <c r="G5" s="9" t="inlineStr">
        <is>
          <t>Harga Jual</t>
        </is>
      </c>
      <c r="H5" s="9" t="inlineStr">
        <is>
          <t>Stok Awal</t>
        </is>
      </c>
      <c r="I5" s="9" t="inlineStr">
        <is>
          <t>Stok Masuk</t>
        </is>
      </c>
      <c r="J5" s="9" t="inlineStr">
        <is>
          <t>Stok Keluar</t>
        </is>
      </c>
      <c r="K5" s="9" t="inlineStr">
        <is>
          <t>Sisa Stok Akhir</t>
        </is>
      </c>
      <c r="L5" s="9" t="inlineStr">
        <is>
          <t>Nilai Aset Stok (Rp)</t>
        </is>
      </c>
      <c r="M5" s="9" t="inlineStr">
        <is>
          <t>Batas Min (Alert)</t>
        </is>
      </c>
      <c r="N5" s="9" t="inlineStr">
        <is>
          <t>Status Stok</t>
        </is>
      </c>
    </row>
    <row r="6">
      <c r="A6" s="30" t="n">
        <v>1</v>
      </c>
      <c r="B6" s="30" t="inlineStr">
        <is>
          <t>SKU-KOP-001</t>
        </is>
      </c>
      <c r="C6" s="31" t="inlineStr">
        <is>
          <t>Kopi Susu Gula Aren</t>
        </is>
      </c>
      <c r="D6" s="31" t="inlineStr">
        <is>
          <t>Minuman</t>
        </is>
      </c>
      <c r="E6" s="30" t="inlineStr">
        <is>
          <t>Cup</t>
        </is>
      </c>
      <c r="F6" s="22" t="n">
        <v>8000</v>
      </c>
      <c r="G6" s="22" t="n">
        <v>18000</v>
      </c>
      <c r="H6" s="36" t="n">
        <v>50</v>
      </c>
      <c r="I6" s="36" t="n">
        <v>100</v>
      </c>
      <c r="J6" s="36" t="n">
        <v>85</v>
      </c>
      <c r="K6" s="37">
        <f>H6+I6-J6</f>
        <v/>
      </c>
      <c r="L6" s="23">
        <f>K6*F6</f>
        <v/>
      </c>
      <c r="M6" s="36" t="n">
        <v>20</v>
      </c>
      <c r="N6" s="38">
        <f>IF(K6&lt;=M6, "⚠️ PERLU RESTOCK", "✅ AMAN")</f>
        <v/>
      </c>
    </row>
    <row r="7">
      <c r="A7" s="30" t="n">
        <v>2</v>
      </c>
      <c r="B7" s="30" t="inlineStr">
        <is>
          <t>SKU-KOP-002</t>
        </is>
      </c>
      <c r="C7" s="31" t="inlineStr">
        <is>
          <t>Biji Kopi Robusta 250g</t>
        </is>
      </c>
      <c r="D7" s="31" t="inlineStr">
        <is>
          <t>Bahan Baku</t>
        </is>
      </c>
      <c r="E7" s="30" t="inlineStr">
        <is>
          <t>Pack</t>
        </is>
      </c>
      <c r="F7" s="22" t="n">
        <v>35000</v>
      </c>
      <c r="G7" s="22" t="n">
        <v>65000</v>
      </c>
      <c r="H7" s="36" t="n">
        <v>20</v>
      </c>
      <c r="I7" s="36" t="n">
        <v>30</v>
      </c>
      <c r="J7" s="36" t="n">
        <v>42</v>
      </c>
      <c r="K7" s="37">
        <f>H7+I7-J7</f>
        <v/>
      </c>
      <c r="L7" s="23">
        <f>K7*F7</f>
        <v/>
      </c>
      <c r="M7" s="36" t="n">
        <v>15</v>
      </c>
      <c r="N7" s="38">
        <f>IF(K7&lt;=M7, "⚠️ PERLU RESTOCK", "✅ AMAN")</f>
        <v/>
      </c>
    </row>
    <row r="8">
      <c r="A8" s="30" t="n">
        <v>3</v>
      </c>
      <c r="B8" s="30" t="inlineStr">
        <is>
          <t>SKU-SYR-001</t>
        </is>
      </c>
      <c r="C8" s="31" t="inlineStr">
        <is>
          <t>Sirup Karamel 1 Liter</t>
        </is>
      </c>
      <c r="D8" s="31" t="inlineStr">
        <is>
          <t>Bahan Baku</t>
        </is>
      </c>
      <c r="E8" s="30" t="inlineStr">
        <is>
          <t>Botol</t>
        </is>
      </c>
      <c r="F8" s="22" t="n">
        <v>55000</v>
      </c>
      <c r="G8" s="22" t="n">
        <v>85000</v>
      </c>
      <c r="H8" s="36" t="n">
        <v>10</v>
      </c>
      <c r="I8" s="36" t="n">
        <v>15</v>
      </c>
      <c r="J8" s="36" t="n">
        <v>21</v>
      </c>
      <c r="K8" s="37">
        <f>H8+I8-J8</f>
        <v/>
      </c>
      <c r="L8" s="23">
        <f>K8*F8</f>
        <v/>
      </c>
      <c r="M8" s="36" t="n">
        <v>5</v>
      </c>
      <c r="N8" s="38">
        <f>IF(K8&lt;=M8, "⚠️ PERLU RESTOCK", "✅ AMAN")</f>
        <v/>
      </c>
    </row>
    <row r="9">
      <c r="A9" s="30" t="n">
        <v>4</v>
      </c>
      <c r="B9" s="30" t="inlineStr">
        <is>
          <t>SKU-TMB-001</t>
        </is>
      </c>
      <c r="C9" s="31" t="inlineStr">
        <is>
          <t>Tumbler Stainless 500ml</t>
        </is>
      </c>
      <c r="D9" s="31" t="inlineStr">
        <is>
          <t>Merchandise</t>
        </is>
      </c>
      <c r="E9" s="30" t="inlineStr">
        <is>
          <t>Pcs</t>
        </is>
      </c>
      <c r="F9" s="22" t="n">
        <v>70000</v>
      </c>
      <c r="G9" s="22" t="n">
        <v>120000</v>
      </c>
      <c r="H9" s="36" t="n">
        <v>15</v>
      </c>
      <c r="I9" s="36" t="n">
        <v>10</v>
      </c>
      <c r="J9" s="36" t="n">
        <v>22</v>
      </c>
      <c r="K9" s="37">
        <f>H9+I9-J9</f>
        <v/>
      </c>
      <c r="L9" s="23">
        <f>K9*F9</f>
        <v/>
      </c>
      <c r="M9" s="36" t="n">
        <v>5</v>
      </c>
      <c r="N9" s="38">
        <f>IF(K9&lt;=M9, "⚠️ PERLU RESTOCK", "✅ AMAN")</f>
        <v/>
      </c>
    </row>
    <row r="10">
      <c r="A10" s="30" t="n">
        <v>5</v>
      </c>
      <c r="B10" s="30" t="inlineStr">
        <is>
          <t>SKU-KOP-003</t>
        </is>
      </c>
      <c r="C10" s="31" t="inlineStr">
        <is>
          <t>Kopi Robusta 1kg</t>
        </is>
      </c>
      <c r="D10" s="31" t="inlineStr">
        <is>
          <t>Bahan Baku</t>
        </is>
      </c>
      <c r="E10" s="30" t="inlineStr">
        <is>
          <t>Pack</t>
        </is>
      </c>
      <c r="F10" s="22" t="n">
        <v>110000</v>
      </c>
      <c r="G10" s="22" t="n">
        <v>190000</v>
      </c>
      <c r="H10" s="36" t="n">
        <v>8</v>
      </c>
      <c r="I10" s="36" t="n">
        <v>20</v>
      </c>
      <c r="J10" s="36" t="n">
        <v>24</v>
      </c>
      <c r="K10" s="37">
        <f>H10+I10-J10</f>
        <v/>
      </c>
      <c r="L10" s="23">
        <f>K10*F10</f>
        <v/>
      </c>
      <c r="M10" s="36" t="n">
        <v>6</v>
      </c>
      <c r="N10" s="38">
        <f>IF(K10&lt;=M10, "⚠️ PERLU RESTOCK", "✅ AMAN")</f>
        <v/>
      </c>
    </row>
    <row r="11">
      <c r="A11" s="30" t="n">
        <v>6</v>
      </c>
      <c r="B11" s="30" t="inlineStr">
        <is>
          <t>SKU-CRS-001</t>
        </is>
      </c>
      <c r="C11" s="31" t="inlineStr">
        <is>
          <t>Croissant Almond</t>
        </is>
      </c>
      <c r="D11" s="31" t="inlineStr">
        <is>
          <t>Pastry</t>
        </is>
      </c>
      <c r="E11" s="30" t="inlineStr">
        <is>
          <t>Pcs</t>
        </is>
      </c>
      <c r="F11" s="22" t="n">
        <v>12000</v>
      </c>
      <c r="G11" s="22" t="n">
        <v>25000</v>
      </c>
      <c r="H11" s="36" t="n">
        <v>30</v>
      </c>
      <c r="I11" s="36" t="n">
        <v>40</v>
      </c>
      <c r="J11" s="36" t="n">
        <v>65</v>
      </c>
      <c r="K11" s="37">
        <f>H11+I11-J11</f>
        <v/>
      </c>
      <c r="L11" s="23">
        <f>K11*F11</f>
        <v/>
      </c>
      <c r="M11" s="36" t="n">
        <v>10</v>
      </c>
      <c r="N11" s="38">
        <f>IF(K11&lt;=M11, "⚠️ PERLU RESTOCK", "✅ AMAN")</f>
        <v/>
      </c>
    </row>
    <row r="12">
      <c r="A12" s="30" t="n">
        <v>7</v>
      </c>
      <c r="B12" s="30" t="inlineStr">
        <is>
          <t>SKU-DRP-001</t>
        </is>
      </c>
      <c r="C12" s="31" t="inlineStr">
        <is>
          <t>Drip Bag Coffee Box (5ct)</t>
        </is>
      </c>
      <c r="D12" s="31" t="inlineStr">
        <is>
          <t>Kemasan</t>
        </is>
      </c>
      <c r="E12" s="30" t="inlineStr">
        <is>
          <t>Box</t>
        </is>
      </c>
      <c r="F12" s="22" t="n">
        <v>24000</v>
      </c>
      <c r="G12" s="22" t="n">
        <v>45000</v>
      </c>
      <c r="H12" s="36" t="n">
        <v>25</v>
      </c>
      <c r="I12" s="36" t="n">
        <v>30</v>
      </c>
      <c r="J12" s="36" t="n">
        <v>48</v>
      </c>
      <c r="K12" s="37">
        <f>H12+I12-J12</f>
        <v/>
      </c>
      <c r="L12" s="23">
        <f>K12*F12</f>
        <v/>
      </c>
      <c r="M12" s="36" t="n">
        <v>12</v>
      </c>
      <c r="N12" s="38">
        <f>IF(K12&lt;=M12, "⚠️ PERLU RESTOCK", "✅ AMAN")</f>
        <v/>
      </c>
    </row>
    <row r="13">
      <c r="A13" s="26" t="n"/>
      <c r="B13" s="26" t="n"/>
      <c r="C13" s="26" t="n"/>
      <c r="D13" s="26" t="n"/>
      <c r="E13" s="27" t="inlineStr">
        <is>
          <t>TOTAL NILAI ASET:</t>
        </is>
      </c>
      <c r="F13" s="26" t="n"/>
      <c r="G13" s="26" t="n"/>
      <c r="H13" s="26" t="n"/>
      <c r="I13" s="26" t="n"/>
      <c r="J13" s="26" t="n"/>
      <c r="K13" s="28">
        <f>SUM(K6:K12)</f>
        <v/>
      </c>
      <c r="L13" s="29">
        <f>SUM(L6:L12)</f>
        <v/>
      </c>
      <c r="M13" s="26" t="n"/>
      <c r="N13" s="26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48" customWidth="1" min="4" max="4"/>
    <col width="17" customWidth="1" min="5" max="5"/>
    <col width="18" customWidth="1" min="6" max="6"/>
    <col width="19" customWidth="1" min="7" max="7"/>
    <col width="23" customWidth="1" min="8" max="8"/>
    <col width="13" customWidth="1" min="9" max="9"/>
    <col width="42" customWidth="1" min="10" max="10"/>
    <col width="13" customWidth="1" min="11" max="11"/>
    <col width="16" customWidth="1" min="12" max="12"/>
    <col width="13" customWidth="1" min="13" max="13"/>
    <col width="13" customWidth="1" min="14" max="14"/>
  </cols>
  <sheetData>
    <row r="1" ht="34" customHeight="1">
      <c r="A1" s="1" t="inlineStr">
        <is>
          <t>BAGIAN C: BUKU KAS HARIAN, ARUS KAS &amp; LABA RUGI OTOMATIS</t>
        </is>
      </c>
    </row>
    <row r="2" ht="22" customHeight="1">
      <c r="A2" s="2" t="inlineStr">
        <is>
          <t>Catatan Kas Masuk / Keluar, Saldo Akumulatif, Laba Rugi Otomatis &amp; Monitoring Utang/Piutang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11" t="inlineStr">
        <is>
          <t>No</t>
        </is>
      </c>
      <c r="B5" s="11" t="inlineStr">
        <is>
          <t>Tanggal</t>
        </is>
      </c>
      <c r="C5" s="11" t="inlineStr">
        <is>
          <t>Kategori Transaksi</t>
        </is>
      </c>
      <c r="D5" s="11" t="inlineStr">
        <is>
          <t>Uraian Keterangan</t>
        </is>
      </c>
      <c r="E5" s="11" t="inlineStr">
        <is>
          <t>Akun / Dompet</t>
        </is>
      </c>
      <c r="F5" s="11" t="inlineStr">
        <is>
          <t>Kas Masuk (Rp)</t>
        </is>
      </c>
      <c r="G5" s="11" t="inlineStr">
        <is>
          <t>Kas Keluar (Rp)</t>
        </is>
      </c>
      <c r="H5" s="11" t="inlineStr">
        <is>
          <t>Saldo Berjalan (Rp)</t>
        </is>
      </c>
      <c r="J5" s="39" t="inlineStr">
        <is>
          <t>LAPORAN LABA RUGI (INCOME STATEMENT)</t>
        </is>
      </c>
    </row>
    <row r="6">
      <c r="A6" s="30" t="n">
        <v>1</v>
      </c>
      <c r="B6" s="30" t="inlineStr">
        <is>
          <t>2026-10-01</t>
        </is>
      </c>
      <c r="C6" s="31" t="inlineStr">
        <is>
          <t>Saldo Awal</t>
        </is>
      </c>
      <c r="D6" s="31" t="inlineStr">
        <is>
          <t>Saldo Kas Tunai Kasir &amp; Rekening BCA</t>
        </is>
      </c>
      <c r="E6" s="30" t="inlineStr">
        <is>
          <t>BCA</t>
        </is>
      </c>
      <c r="F6" s="22" t="n">
        <v>15000000</v>
      </c>
      <c r="G6" s="22" t="n">
        <v>0</v>
      </c>
      <c r="H6" s="23">
        <f>F6-G6</f>
        <v/>
      </c>
      <c r="J6" s="40" t="inlineStr">
        <is>
          <t>Pendapatan Usaha (Omzet Bersih)</t>
        </is>
      </c>
      <c r="K6" s="7" t="n"/>
      <c r="L6" s="41">
        <f>SUM('02_PENJUALAN_CRM'!L6:L25)</f>
        <v/>
      </c>
    </row>
    <row r="7">
      <c r="A7" s="30" t="n">
        <v>2</v>
      </c>
      <c r="B7" s="30" t="inlineStr">
        <is>
          <t>2026-10-01</t>
        </is>
      </c>
      <c r="C7" s="31" t="inlineStr">
        <is>
          <t>Penjualan</t>
        </is>
      </c>
      <c r="D7" s="31" t="inlineStr">
        <is>
          <t>Penerimaan Omzet Kasir Harian</t>
        </is>
      </c>
      <c r="E7" s="30" t="inlineStr">
        <is>
          <t>Kas Tunai</t>
        </is>
      </c>
      <c r="F7" s="22" t="n">
        <v>2450000</v>
      </c>
      <c r="G7" s="22" t="n">
        <v>0</v>
      </c>
      <c r="H7" s="23">
        <f>H6+F7-G7</f>
        <v/>
      </c>
      <c r="J7" s="42" t="inlineStr">
        <is>
          <t>Beban Pokok Penjualan (HPP)</t>
        </is>
      </c>
      <c r="K7" s="7" t="n"/>
      <c r="L7" s="43">
        <f>F8*0.45</f>
        <v/>
      </c>
    </row>
    <row r="8">
      <c r="A8" s="30" t="n">
        <v>3</v>
      </c>
      <c r="B8" s="30" t="inlineStr">
        <is>
          <t>2026-10-01</t>
        </is>
      </c>
      <c r="C8" s="31" t="inlineStr">
        <is>
          <t>Bahan Baku</t>
        </is>
      </c>
      <c r="D8" s="31" t="inlineStr">
        <is>
          <t>Belanja Susu Fresh Milk &amp; Sirup</t>
        </is>
      </c>
      <c r="E8" s="30" t="inlineStr">
        <is>
          <t>Kas Tunai</t>
        </is>
      </c>
      <c r="F8" s="22" t="n">
        <v>0</v>
      </c>
      <c r="G8" s="22" t="n">
        <v>850000</v>
      </c>
      <c r="H8" s="23">
        <f>H7+F8-G8</f>
        <v/>
      </c>
      <c r="J8" s="44" t="inlineStr">
        <is>
          <t>LABA KOTOR (GROSS PROFIT)</t>
        </is>
      </c>
      <c r="K8" s="7" t="n"/>
      <c r="L8" s="45">
        <f>L6-L7</f>
        <v/>
      </c>
    </row>
    <row r="9">
      <c r="A9" s="30" t="n">
        <v>4</v>
      </c>
      <c r="B9" s="30" t="inlineStr">
        <is>
          <t>2026-10-02</t>
        </is>
      </c>
      <c r="C9" s="31" t="inlineStr">
        <is>
          <t>Penjualan</t>
        </is>
      </c>
      <c r="D9" s="31" t="inlineStr">
        <is>
          <t>Pencairan Saldo ShopeePay Merchant</t>
        </is>
      </c>
      <c r="E9" s="30" t="inlineStr">
        <is>
          <t>BCA</t>
        </is>
      </c>
      <c r="F9" s="22" t="n">
        <v>3800000</v>
      </c>
      <c r="G9" s="22" t="n">
        <v>0</v>
      </c>
      <c r="H9" s="23">
        <f>H8+F9-G9</f>
        <v/>
      </c>
      <c r="J9" s="42" t="inlineStr">
        <is>
          <t>Beban Gaji Karyawan</t>
        </is>
      </c>
      <c r="K9" s="7" t="n"/>
      <c r="L9" s="43">
        <f>SUM(G13)</f>
        <v/>
      </c>
    </row>
    <row r="10">
      <c r="A10" s="30" t="n">
        <v>5</v>
      </c>
      <c r="B10" s="30" t="inlineStr">
        <is>
          <t>2026-10-02</t>
        </is>
      </c>
      <c r="C10" s="31" t="inlineStr">
        <is>
          <t>Utilitas</t>
        </is>
      </c>
      <c r="D10" s="31" t="inlineStr">
        <is>
          <t>Pembayaran Listrik PLN &amp; Internet Wi-Fi Toko</t>
        </is>
      </c>
      <c r="E10" s="30" t="inlineStr">
        <is>
          <t>BCA</t>
        </is>
      </c>
      <c r="F10" s="22" t="n">
        <v>0</v>
      </c>
      <c r="G10" s="22" t="n">
        <v>1250000</v>
      </c>
      <c r="H10" s="23">
        <f>H9+F10-G10</f>
        <v/>
      </c>
      <c r="J10" s="42" t="inlineStr">
        <is>
          <t>Beban Sewa &amp; Utilitas</t>
        </is>
      </c>
      <c r="K10" s="7" t="n"/>
      <c r="L10" s="43">
        <f>G10</f>
        <v/>
      </c>
    </row>
    <row r="11">
      <c r="A11" s="30" t="n">
        <v>6</v>
      </c>
      <c r="B11" s="30" t="inlineStr">
        <is>
          <t>2026-10-03</t>
        </is>
      </c>
      <c r="C11" s="31" t="inlineStr">
        <is>
          <t>Pemasaran</t>
        </is>
      </c>
      <c r="D11" s="31" t="inlineStr">
        <is>
          <t>Top Up Saldo Iklan Meta Ads (Instagram/FB)</t>
        </is>
      </c>
      <c r="E11" s="30" t="inlineStr">
        <is>
          <t>BCA</t>
        </is>
      </c>
      <c r="F11" s="22" t="n">
        <v>0</v>
      </c>
      <c r="G11" s="22" t="n">
        <v>1500000</v>
      </c>
      <c r="H11" s="23">
        <f>H10+F11-G11</f>
        <v/>
      </c>
      <c r="J11" s="42" t="inlineStr">
        <is>
          <t>Beban Pemasaran &amp; Iklan</t>
        </is>
      </c>
      <c r="K11" s="7" t="n"/>
      <c r="L11" s="43">
        <f>G11</f>
        <v/>
      </c>
    </row>
    <row r="12">
      <c r="A12" s="30" t="n">
        <v>7</v>
      </c>
      <c r="B12" s="30" t="inlineStr">
        <is>
          <t>2026-10-03</t>
        </is>
      </c>
      <c r="C12" s="31" t="inlineStr">
        <is>
          <t>Penjualan</t>
        </is>
      </c>
      <c r="D12" s="31" t="inlineStr">
        <is>
          <t>Penerimaan Pembayaran Invoice B2B Bu Ani</t>
        </is>
      </c>
      <c r="E12" s="30" t="inlineStr">
        <is>
          <t>BCA</t>
        </is>
      </c>
      <c r="F12" s="22" t="n">
        <v>800000</v>
      </c>
      <c r="G12" s="22" t="n">
        <v>0</v>
      </c>
      <c r="H12" s="23">
        <f>H11+F12-G12</f>
        <v/>
      </c>
      <c r="J12" s="42" t="inlineStr">
        <is>
          <t>Beban Operasional Lainnya</t>
        </is>
      </c>
      <c r="K12" s="7" t="n"/>
      <c r="L12" s="43">
        <f>G8</f>
        <v/>
      </c>
    </row>
    <row r="13">
      <c r="A13" s="30" t="n">
        <v>8</v>
      </c>
      <c r="B13" s="30" t="inlineStr">
        <is>
          <t>2026-10-04</t>
        </is>
      </c>
      <c r="C13" s="31" t="inlineStr">
        <is>
          <t>Gaji</t>
        </is>
      </c>
      <c r="D13" s="31" t="inlineStr">
        <is>
          <t>Uang Makan &amp; Lembur Karyawan Toko</t>
        </is>
      </c>
      <c r="E13" s="30" t="inlineStr">
        <is>
          <t>Kas Tunai</t>
        </is>
      </c>
      <c r="F13" s="22" t="n">
        <v>0</v>
      </c>
      <c r="G13" s="22" t="n">
        <v>450000</v>
      </c>
      <c r="H13" s="23">
        <f>H12+F13-G13</f>
        <v/>
      </c>
      <c r="J13" s="44" t="inlineStr">
        <is>
          <t>TOTAL BEBAN OPERASIONAL</t>
        </is>
      </c>
      <c r="K13" s="7" t="n"/>
      <c r="L13" s="45">
        <f>SUM(L9:L12)</f>
        <v/>
      </c>
    </row>
    <row r="14">
      <c r="A14" s="26" t="n"/>
      <c r="B14" s="26" t="n"/>
      <c r="C14" s="26" t="n"/>
      <c r="D14" s="27" t="inlineStr">
        <is>
          <t>TOTAL MUTASI &amp; SALDO AKHIR:</t>
        </is>
      </c>
      <c r="E14" s="26" t="n"/>
      <c r="F14" s="29">
        <f>SUM(F6:F13)</f>
        <v/>
      </c>
      <c r="G14" s="29">
        <f>SUM(G6:G13)</f>
        <v/>
      </c>
      <c r="H14" s="29">
        <f>H13</f>
        <v/>
      </c>
      <c r="J14" s="44" t="inlineStr">
        <is>
          <t>LABA OPERASIONAL SEBELUM PAJAK</t>
        </is>
      </c>
      <c r="K14" s="7" t="n"/>
      <c r="L14" s="45">
        <f>L8-L13</f>
        <v/>
      </c>
    </row>
    <row r="15">
      <c r="J15" s="42" t="inlineStr">
        <is>
          <t>Pajak PPh Final UMKM 0.5% (PP 55)</t>
        </is>
      </c>
      <c r="K15" s="7" t="n"/>
      <c r="L15" s="43">
        <f>L6*0.005</f>
        <v/>
      </c>
    </row>
    <row r="16">
      <c r="J16" s="46" t="inlineStr">
        <is>
          <t>LABA BERSIH SETELAH PAJAK (NET INCOME)</t>
        </is>
      </c>
      <c r="K16" s="7" t="n"/>
      <c r="L16" s="47">
        <f>L14-L15</f>
        <v/>
      </c>
    </row>
  </sheetData>
  <mergeCells count="15">
    <mergeCell ref="J5:L5"/>
    <mergeCell ref="A2:L2"/>
    <mergeCell ref="J11:K11"/>
    <mergeCell ref="J12:K12"/>
    <mergeCell ref="J6:K6"/>
    <mergeCell ref="J13:K13"/>
    <mergeCell ref="J16:K16"/>
    <mergeCell ref="J14:K14"/>
    <mergeCell ref="A1:L1"/>
    <mergeCell ref="J7:K7"/>
    <mergeCell ref="J10:K10"/>
    <mergeCell ref="J15:K15"/>
    <mergeCell ref="A3:L3"/>
    <mergeCell ref="J8:K8"/>
    <mergeCell ref="J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5" customWidth="1" min="3" max="3"/>
    <col width="23" customWidth="1" min="4" max="4"/>
    <col width="13" customWidth="1" min="5" max="5"/>
    <col width="52" customWidth="1" min="6" max="6"/>
    <col width="13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4" customHeight="1">
      <c r="A1" s="1" t="inlineStr">
        <is>
          <t>BAGIAN D: KALKULATOR HPP PRODUK, HARGA JUAL &amp; ANALISIS TITIK IMPAS (BEP)</t>
        </is>
      </c>
    </row>
    <row r="2" ht="22" customHeight="1">
      <c r="A2" s="2" t="inlineStr">
        <is>
          <t>Perhitungan Komponen Biaya Pokok, Markup/Margin Laba, Titik Impas (BEP) Unit/Rupiah &amp; Diskon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1. SIMULASI PERHITUNGAN HPP PER UNIT PRODUK</t>
        </is>
      </c>
      <c r="F5" s="4" t="inlineStr">
        <is>
          <t>3. ANALISIS TITIK IMPAS / BREAK-EVEN POINT (BEP)</t>
        </is>
      </c>
    </row>
    <row r="6">
      <c r="B6" s="10" t="inlineStr">
        <is>
          <t>Komponen Biaya</t>
        </is>
      </c>
      <c r="C6" s="10" t="inlineStr">
        <is>
          <t>Keterangan</t>
        </is>
      </c>
      <c r="D6" s="10" t="inlineStr">
        <is>
          <t>Biaya per Unit (Rp)</t>
        </is>
      </c>
      <c r="F6" s="6" t="inlineStr">
        <is>
          <t>Biaya Tetap Bulanan (Sewa, Gaji Tetap, Listrik)</t>
        </is>
      </c>
      <c r="G6" s="7" t="n"/>
      <c r="H6" s="14" t="n">
        <v>9500000</v>
      </c>
    </row>
    <row r="7">
      <c r="B7" s="6" t="inlineStr">
        <is>
          <t>Bahan Baku Utama (Biji Kopi &amp; Susu)</t>
        </is>
      </c>
      <c r="C7" s="6" t="inlineStr">
        <is>
          <t>Biji kopi espresso 20g + Fresh milk 150ml</t>
        </is>
      </c>
      <c r="D7" s="14" t="n">
        <v>5200</v>
      </c>
      <c r="F7" s="6" t="inlineStr">
        <is>
          <t>Harga Jual Rata-rata per Unit</t>
        </is>
      </c>
      <c r="G7" s="7" t="n"/>
      <c r="H7" s="43">
        <f>D19</f>
        <v/>
      </c>
    </row>
    <row r="8">
      <c r="B8" s="6" t="inlineStr">
        <is>
          <t>Bahan Penolong (Sirup &amp; Gula)</t>
        </is>
      </c>
      <c r="C8" s="6" t="inlineStr">
        <is>
          <t>Sirup karamel 20ml + Gula aren</t>
        </is>
      </c>
      <c r="D8" s="14" t="n">
        <v>1300</v>
      </c>
      <c r="F8" s="6" t="inlineStr">
        <is>
          <t>Biaya Variabel / HPP per Unit</t>
        </is>
      </c>
      <c r="G8" s="7" t="n"/>
      <c r="H8" s="43">
        <f>D12</f>
        <v/>
      </c>
    </row>
    <row r="9">
      <c r="B9" s="6" t="inlineStr">
        <is>
          <t>Kemasan &amp; Packaging</t>
        </is>
      </c>
      <c r="C9" s="6" t="inlineStr">
        <is>
          <t>Cup sablon 16oz + Lid seal + Sedotan</t>
        </is>
      </c>
      <c r="D9" s="14" t="n">
        <v>1200</v>
      </c>
      <c r="F9" s="6" t="inlineStr">
        <is>
          <t>Margin Kontribusi per Unit (Harga - Variabel)</t>
        </is>
      </c>
      <c r="G9" s="7" t="n"/>
      <c r="H9" s="43">
        <f>H7-H8</f>
        <v/>
      </c>
    </row>
    <row r="10">
      <c r="B10" s="6" t="inlineStr">
        <is>
          <t>Tenaga Kerja Langsung</t>
        </is>
      </c>
      <c r="C10" s="6" t="inlineStr">
        <is>
          <t>Alokasi barista per cup</t>
        </is>
      </c>
      <c r="D10" s="14" t="n">
        <v>800</v>
      </c>
      <c r="F10" s="6" t="inlineStr">
        <is>
          <t>Rasio Margin Kontribusi (CM Ratio)</t>
        </is>
      </c>
      <c r="G10" s="7" t="n"/>
      <c r="H10" s="48">
        <f>H9/H7</f>
        <v/>
      </c>
    </row>
    <row r="11">
      <c r="B11" s="6" t="inlineStr">
        <is>
          <t>Overhead Pabrik/Listrik/Mesin</t>
        </is>
      </c>
      <c r="C11" s="6" t="inlineStr">
        <is>
          <t>Depresiasi mesin espresso &amp; listrik</t>
        </is>
      </c>
      <c r="D11" s="14" t="n">
        <v>500</v>
      </c>
      <c r="F11" s="49" t="inlineStr">
        <is>
          <t>BEP DALAM UNIT (Harus Jual Berapa Cup)</t>
        </is>
      </c>
      <c r="G11" s="7" t="n"/>
      <c r="H11" s="50">
        <f>ROUNDUP(H6/H9, 0)</f>
        <v/>
      </c>
    </row>
    <row r="12">
      <c r="B12" s="51" t="inlineStr">
        <is>
          <t>TOTAL HPP PER UNIT:</t>
        </is>
      </c>
      <c r="C12" s="52" t="inlineStr"/>
      <c r="D12" s="17">
        <f>SUM(D7:D11)</f>
        <v/>
      </c>
      <c r="F12" s="49" t="inlineStr">
        <is>
          <t>BEP DALAM RUPIAH (Target Omzet Minimal)</t>
        </is>
      </c>
      <c r="G12" s="7" t="n"/>
      <c r="H12" s="53">
        <f>H11*H7</f>
        <v/>
      </c>
    </row>
    <row r="13">
      <c r="F13" s="6" t="inlineStr">
        <is>
          <t>Target Penjualan Harian (30 Hari)</t>
        </is>
      </c>
      <c r="G13" s="7" t="n"/>
      <c r="H13" s="54">
        <f>ROUNDUP(H11/30, 0)</f>
        <v/>
      </c>
    </row>
    <row r="14">
      <c r="B14" s="4" t="inlineStr">
        <is>
          <t>2. PENENTUAN HARGA JUAL BERDASARKAN TARGET MARGIN</t>
        </is>
      </c>
    </row>
    <row r="15">
      <c r="B15" s="6" t="inlineStr">
        <is>
          <t>Total HPP per Unit</t>
        </is>
      </c>
      <c r="C15" s="7" t="n"/>
      <c r="D15" s="55">
        <f>D12</f>
        <v/>
      </c>
    </row>
    <row r="16">
      <c r="B16" s="6" t="inlineStr">
        <is>
          <t>Target Margin Keuntungan Kotor</t>
        </is>
      </c>
      <c r="C16" s="7" t="n"/>
      <c r="D16" s="56" t="n">
        <v>0.5</v>
      </c>
    </row>
    <row r="17">
      <c r="B17" s="6" t="inlineStr">
        <is>
          <t>Harga Jual Rekomendasi [HPP / (1 - Margin)]</t>
        </is>
      </c>
      <c r="C17" s="7" t="n"/>
      <c r="D17" s="47">
        <f>D15/(1-D16)</f>
        <v/>
      </c>
    </row>
    <row r="18">
      <c r="B18" s="6" t="inlineStr">
        <is>
          <t>Markup Persentase [(Harga - HPP) / HPP]</t>
        </is>
      </c>
      <c r="C18" s="7" t="n"/>
      <c r="D18" s="57">
        <f>(D17-D15)/D15</f>
        <v/>
      </c>
    </row>
    <row r="19">
      <c r="B19" s="6" t="inlineStr">
        <is>
          <t>Harga Jual Aktual yang Ditetapkan Toko</t>
        </is>
      </c>
      <c r="C19" s="7" t="n"/>
      <c r="D19" s="58" t="n">
        <v>18000</v>
      </c>
    </row>
    <row r="20">
      <c r="B20" s="6" t="inlineStr">
        <is>
          <t>Keuntungan Kotor Aktual per Unit</t>
        </is>
      </c>
      <c r="C20" s="7" t="n"/>
      <c r="D20" s="55">
        <f>D19-D15</f>
        <v/>
      </c>
    </row>
  </sheetData>
  <mergeCells count="17">
    <mergeCell ref="A2:L2"/>
    <mergeCell ref="F11:G11"/>
    <mergeCell ref="B16:C16"/>
    <mergeCell ref="F12:G12"/>
    <mergeCell ref="B15:C15"/>
    <mergeCell ref="F10:G10"/>
    <mergeCell ref="B19:C19"/>
    <mergeCell ref="B20:C20"/>
    <mergeCell ref="A1:L1"/>
    <mergeCell ref="F6:G6"/>
    <mergeCell ref="F13:G13"/>
    <mergeCell ref="B17:C17"/>
    <mergeCell ref="B18:C18"/>
    <mergeCell ref="A3:L3"/>
    <mergeCell ref="F9:G9"/>
    <mergeCell ref="F7:G7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7" customWidth="1" min="4" max="4"/>
    <col width="19" customWidth="1" min="5" max="5"/>
    <col width="18" customWidth="1" min="6" max="6"/>
    <col width="20" customWidth="1" min="7" max="7"/>
    <col width="14" customWidth="1" min="8" max="8"/>
    <col width="14" customWidth="1" min="9" max="9"/>
    <col width="20" customWidth="1" min="10" max="10"/>
    <col width="16" customWidth="1" min="11" max="11"/>
    <col width="17" customWidth="1" min="12" max="12"/>
    <col width="29" customWidth="1" min="13" max="13"/>
    <col width="13" customWidth="1" min="14" max="14"/>
  </cols>
  <sheetData>
    <row r="1" ht="34" customHeight="1">
      <c r="A1" s="1" t="inlineStr">
        <is>
          <t>BAGIAN E: DATA KARYAWAN, ABSENSI, LEMBUR &amp; REKAP GAJI BERSIH</t>
        </is>
      </c>
    </row>
    <row r="2" ht="22" customHeight="1">
      <c r="A2" s="2" t="inlineStr">
        <is>
          <t>Pencatatan Kehadiran, Perhitungan Gaji Pokok, Uang Lembur, Tunjangan, Potongan &amp; Slip Gaji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12" t="inlineStr">
        <is>
          <t>No</t>
        </is>
      </c>
      <c r="B5" s="12" t="inlineStr">
        <is>
          <t>ID Karyawan</t>
        </is>
      </c>
      <c r="C5" s="12" t="inlineStr">
        <is>
          <t>Nama Lengkap</t>
        </is>
      </c>
      <c r="D5" s="12" t="inlineStr">
        <is>
          <t>Jabatan</t>
        </is>
      </c>
      <c r="E5" s="12" t="inlineStr">
        <is>
          <t>Gaji Pokok (Rp)</t>
        </is>
      </c>
      <c r="F5" s="12" t="inlineStr">
        <is>
          <t>Tunjangan (Rp)</t>
        </is>
      </c>
      <c r="G5" s="12" t="inlineStr">
        <is>
          <t>Tarif Lembur/Jam</t>
        </is>
      </c>
      <c r="H5" s="12" t="inlineStr">
        <is>
          <t>Hari Hadir</t>
        </is>
      </c>
      <c r="I5" s="12" t="inlineStr">
        <is>
          <t>Jam Lembur</t>
        </is>
      </c>
      <c r="J5" s="12" t="inlineStr">
        <is>
          <t>Uang Lembur (Rp)</t>
        </is>
      </c>
      <c r="K5" s="12" t="inlineStr">
        <is>
          <t>Bonus/Komisi</t>
        </is>
      </c>
      <c r="L5" s="12" t="inlineStr">
        <is>
          <t>Potongan (Rp)</t>
        </is>
      </c>
      <c r="M5" s="12" t="inlineStr">
        <is>
          <t>Gaji Bersih Diterima (Rp)</t>
        </is>
      </c>
    </row>
    <row r="6">
      <c r="A6" s="30" t="n">
        <v>1</v>
      </c>
      <c r="B6" s="30" t="inlineStr">
        <is>
          <t>EMP-001</t>
        </is>
      </c>
      <c r="C6" s="31" t="inlineStr">
        <is>
          <t>Andi Pratama</t>
        </is>
      </c>
      <c r="D6" s="31" t="inlineStr">
        <is>
          <t>Head Barista &amp; Sales</t>
        </is>
      </c>
      <c r="E6" s="32" t="n">
        <v>3500000</v>
      </c>
      <c r="F6" s="32" t="n">
        <v>500000</v>
      </c>
      <c r="G6" s="32" t="n">
        <v>25000</v>
      </c>
      <c r="H6" s="59" t="n">
        <v>26</v>
      </c>
      <c r="I6" s="59" t="n">
        <v>12</v>
      </c>
      <c r="J6" s="33">
        <f>I6*G6</f>
        <v/>
      </c>
      <c r="K6" s="32" t="n">
        <v>450000</v>
      </c>
      <c r="L6" s="32" t="n">
        <v>100000</v>
      </c>
      <c r="M6" s="60">
        <f>E6+F6+J6+K6-L6</f>
        <v/>
      </c>
    </row>
    <row r="7">
      <c r="A7" s="30" t="n">
        <v>2</v>
      </c>
      <c r="B7" s="30" t="inlineStr">
        <is>
          <t>EMP-002</t>
        </is>
      </c>
      <c r="C7" s="31" t="inlineStr">
        <is>
          <t>Rina Marlina</t>
        </is>
      </c>
      <c r="D7" s="31" t="inlineStr">
        <is>
          <t>Kasir &amp; Admin Medsos</t>
        </is>
      </c>
      <c r="E7" s="32" t="n">
        <v>3000000</v>
      </c>
      <c r="F7" s="32" t="n">
        <v>400000</v>
      </c>
      <c r="G7" s="32" t="n">
        <v>20000</v>
      </c>
      <c r="H7" s="59" t="n">
        <v>25</v>
      </c>
      <c r="I7" s="59" t="n">
        <v>8</v>
      </c>
      <c r="J7" s="33">
        <f>I7*G7</f>
        <v/>
      </c>
      <c r="K7" s="32" t="n">
        <v>300000</v>
      </c>
      <c r="L7" s="32" t="n">
        <v>50000</v>
      </c>
      <c r="M7" s="60">
        <f>E7+F7+J7+K7-L7</f>
        <v/>
      </c>
    </row>
    <row r="8">
      <c r="A8" s="30" t="n">
        <v>3</v>
      </c>
      <c r="B8" s="30" t="inlineStr">
        <is>
          <t>EMP-003</t>
        </is>
      </c>
      <c r="C8" s="31" t="inlineStr">
        <is>
          <t>Doni Saputra</t>
        </is>
      </c>
      <c r="D8" s="31" t="inlineStr">
        <is>
          <t>Junior Barista</t>
        </is>
      </c>
      <c r="E8" s="32" t="n">
        <v>2800000</v>
      </c>
      <c r="F8" s="32" t="n">
        <v>300000</v>
      </c>
      <c r="G8" s="32" t="n">
        <v>20000</v>
      </c>
      <c r="H8" s="59" t="n">
        <v>24</v>
      </c>
      <c r="I8" s="59" t="n">
        <v>15</v>
      </c>
      <c r="J8" s="33">
        <f>I8*G8</f>
        <v/>
      </c>
      <c r="K8" s="32" t="n">
        <v>0</v>
      </c>
      <c r="L8" s="32" t="n">
        <v>50000</v>
      </c>
      <c r="M8" s="60">
        <f>E8+F8+J8+K8-L8</f>
        <v/>
      </c>
    </row>
    <row r="9">
      <c r="A9" s="30" t="n">
        <v>4</v>
      </c>
      <c r="B9" s="30" t="inlineStr">
        <is>
          <t>EMP-004</t>
        </is>
      </c>
      <c r="C9" s="31" t="inlineStr">
        <is>
          <t>Maya Indah</t>
        </is>
      </c>
      <c r="D9" s="31" t="inlineStr">
        <is>
          <t>Kitchen &amp; Pastry Cook</t>
        </is>
      </c>
      <c r="E9" s="32" t="n">
        <v>3200000</v>
      </c>
      <c r="F9" s="32" t="n">
        <v>450000</v>
      </c>
      <c r="G9" s="32" t="n">
        <v>22000</v>
      </c>
      <c r="H9" s="59" t="n">
        <v>26</v>
      </c>
      <c r="I9" s="59" t="n">
        <v>10</v>
      </c>
      <c r="J9" s="33">
        <f>I9*G9</f>
        <v/>
      </c>
      <c r="K9" s="32" t="n">
        <v>0</v>
      </c>
      <c r="L9" s="32" t="n">
        <v>0</v>
      </c>
      <c r="M9" s="60">
        <f>E9+F9+J9+K9-L9</f>
        <v/>
      </c>
    </row>
    <row r="10">
      <c r="A10" s="26" t="n"/>
      <c r="B10" s="26" t="n"/>
      <c r="C10" s="26" t="n"/>
      <c r="D10" s="27" t="inlineStr">
        <is>
          <t>TOTAL BEBAN GAJI USAHA:</t>
        </is>
      </c>
      <c r="E10" s="29">
        <f>SUM(E6:E9)</f>
        <v/>
      </c>
      <c r="F10" s="26" t="n"/>
      <c r="G10" s="26" t="n"/>
      <c r="H10" s="26" t="n"/>
      <c r="I10" s="26" t="n"/>
      <c r="J10" s="26" t="n"/>
      <c r="K10" s="26" t="n"/>
      <c r="L10" s="26" t="n"/>
      <c r="M10" s="29">
        <f>SUM(M6:M9)</f>
        <v/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24" customWidth="1" min="3" max="3"/>
    <col width="21" customWidth="1" min="4" max="4"/>
    <col width="50" customWidth="1" min="5" max="5"/>
    <col width="4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1" t="inlineStr">
        <is>
          <t>BAGIAN F: MARKETING, KALENDER KONTEN &amp; REKAP MARKETPLACE</t>
        </is>
      </c>
    </row>
    <row r="2" ht="22" customHeight="1">
      <c r="A2" s="2" t="inlineStr">
        <is>
          <t>Performa Iklan ROAS, Penjualan Multi-Kanal (Shopee/Tokped/TikTok) &amp; Jadwal Konten Medsos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1. REKAP PERFORMA BIAYA IKLAN &amp; ROAS (RETURN ON AD SPEND)</t>
        </is>
      </c>
    </row>
    <row r="6">
      <c r="B6" s="10" t="inlineStr">
        <is>
          <t>Kanal Iklan</t>
        </is>
      </c>
      <c r="C6" s="10" t="inlineStr">
        <is>
          <t>Budget Terpakai (Rp)</t>
        </is>
      </c>
      <c r="D6" s="10" t="inlineStr">
        <is>
          <t>Jumlah Klik/Leads</t>
        </is>
      </c>
      <c r="E6" s="10" t="inlineStr">
        <is>
          <t>Omzet Penjualan (Rp)</t>
        </is>
      </c>
      <c r="F6" s="10" t="inlineStr">
        <is>
          <t>Nilai ROAS</t>
        </is>
      </c>
      <c r="G6" s="10" t="inlineStr">
        <is>
          <t>Evaluasi Performa</t>
        </is>
      </c>
    </row>
    <row r="7">
      <c r="B7" s="31" t="inlineStr">
        <is>
          <t>Meta Ads (Instagram &amp; FB)</t>
        </is>
      </c>
      <c r="C7" s="32" t="n">
        <v>2500000</v>
      </c>
      <c r="D7" s="59" t="n">
        <v>1450</v>
      </c>
      <c r="E7" s="32" t="n">
        <v>11200000</v>
      </c>
      <c r="F7" s="61">
        <f>E7/C7</f>
        <v/>
      </c>
      <c r="G7" s="62">
        <f>IF(F7&gt;=3, "✅ SANGAT PROFITABLE", IF(F7&gt;=1.5, "⚠️ PROFIT SEDANG", "❌ RUGI / OPTIMASI"))</f>
        <v/>
      </c>
    </row>
    <row r="8">
      <c r="B8" s="31" t="inlineStr">
        <is>
          <t>TikTok Ads</t>
        </is>
      </c>
      <c r="C8" s="32" t="n">
        <v>1500000</v>
      </c>
      <c r="D8" s="59" t="n">
        <v>980</v>
      </c>
      <c r="E8" s="32" t="n">
        <v>5400000</v>
      </c>
      <c r="F8" s="61">
        <f>E8/C8</f>
        <v/>
      </c>
      <c r="G8" s="62">
        <f>IF(F8&gt;=3, "✅ SANGAT PROFITABLE", IF(F8&gt;=1.5, "⚠️ PROFIT SEDANG", "❌ RUGI / OPTIMASI"))</f>
        <v/>
      </c>
    </row>
    <row r="9">
      <c r="B9" s="31" t="inlineStr">
        <is>
          <t>Shopee Iklan Toko</t>
        </is>
      </c>
      <c r="C9" s="32" t="n">
        <v>1200000</v>
      </c>
      <c r="D9" s="59" t="n">
        <v>850</v>
      </c>
      <c r="E9" s="32" t="n">
        <v>6800000</v>
      </c>
      <c r="F9" s="61">
        <f>E9/C9</f>
        <v/>
      </c>
      <c r="G9" s="62">
        <f>IF(F9&gt;=3, "✅ SANGAT PROFITABLE", IF(F9&gt;=1.5, "⚠️ PROFIT SEDANG", "❌ RUGI / OPTIMASI"))</f>
        <v/>
      </c>
    </row>
    <row r="10"/>
    <row r="11"/>
    <row r="12">
      <c r="B12" s="4" t="inlineStr">
        <is>
          <t>2. KALENDER JADWAL KONTEN MEDIA SOSIAL</t>
        </is>
      </c>
    </row>
    <row r="13">
      <c r="B13" s="12" t="inlineStr">
        <is>
          <t>Tanggal Tayang</t>
        </is>
      </c>
      <c r="C13" s="12" t="inlineStr">
        <is>
          <t>Platform</t>
        </is>
      </c>
      <c r="D13" s="12" t="inlineStr">
        <is>
          <t>Pilar Konten</t>
        </is>
      </c>
      <c r="E13" s="12" t="inlineStr">
        <is>
          <t>Topik / Hook Konten</t>
        </is>
      </c>
      <c r="F13" s="12" t="inlineStr">
        <is>
          <t>Call To Action (CTA)</t>
        </is>
      </c>
      <c r="G13" s="12" t="inlineStr">
        <is>
          <t>Status</t>
        </is>
      </c>
    </row>
    <row r="14">
      <c r="B14" s="30" t="inlineStr">
        <is>
          <t>2026-10-05</t>
        </is>
      </c>
      <c r="C14" s="31" t="inlineStr">
        <is>
          <t>Instagram Reels</t>
        </is>
      </c>
      <c r="D14" s="31" t="inlineStr">
        <is>
          <t>Edukasi</t>
        </is>
      </c>
      <c r="E14" s="31" t="inlineStr">
        <is>
          <t>3 Tips Memilih Biji Kopi untuk Pemula</t>
        </is>
      </c>
      <c r="F14" s="31" t="inlineStr">
        <is>
          <t>Klik link bio untuk order biji kopi segar</t>
        </is>
      </c>
      <c r="G14" s="19" t="inlineStr">
        <is>
          <t>Siap Tayang</t>
        </is>
      </c>
    </row>
    <row r="15">
      <c r="B15" s="30" t="inlineStr">
        <is>
          <t>2026-10-06</t>
        </is>
      </c>
      <c r="C15" s="31" t="inlineStr">
        <is>
          <t>TikTok Video</t>
        </is>
      </c>
      <c r="D15" s="31" t="inlineStr">
        <is>
          <t>Entertainment</t>
        </is>
      </c>
      <c r="E15" s="31" t="inlineStr">
        <is>
          <t>Behind the scene barista bikin latte art gagal</t>
        </is>
      </c>
      <c r="F15" s="31" t="inlineStr">
        <is>
          <t>Komentar latte art favorit kamu</t>
        </is>
      </c>
      <c r="G15" s="19" t="inlineStr">
        <is>
          <t>Published</t>
        </is>
      </c>
    </row>
    <row r="16">
      <c r="B16" s="30" t="inlineStr">
        <is>
          <t>2026-10-07</t>
        </is>
      </c>
      <c r="C16" s="31" t="inlineStr">
        <is>
          <t>Instagram Feed</t>
        </is>
      </c>
      <c r="D16" s="31" t="inlineStr">
        <is>
          <t>Promosi</t>
        </is>
      </c>
      <c r="E16" s="31" t="inlineStr">
        <is>
          <t>Promo Beli 2 Gratis 1 Setiap Hari Rabu</t>
        </is>
      </c>
      <c r="F16" s="31" t="inlineStr">
        <is>
          <t>Datang langsung ke outlet hari ini!</t>
        </is>
      </c>
      <c r="G16" s="19" t="inlineStr">
        <is>
          <t>Draft</t>
        </is>
      </c>
    </row>
    <row r="17">
      <c r="B17" s="30" t="inlineStr">
        <is>
          <t>2026-10-08</t>
        </is>
      </c>
      <c r="C17" s="31" t="inlineStr">
        <is>
          <t>TikTok Live</t>
        </is>
      </c>
      <c r="D17" s="31" t="inlineStr">
        <is>
          <t>Penjualan</t>
        </is>
      </c>
      <c r="E17" s="31" t="inlineStr">
        <is>
          <t>Live Shopping Flash Sale Kopi Literan</t>
        </is>
      </c>
      <c r="F17" s="31" t="inlineStr">
        <is>
          <t>Checkout di keranjang kuning sekarang</t>
        </is>
      </c>
      <c r="G17" s="19" t="inlineStr">
        <is>
          <t>Terjadwal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8" customWidth="1" min="3" max="3"/>
    <col width="61" customWidth="1" min="4" max="4"/>
    <col width="20" customWidth="1" min="5" max="5"/>
    <col width="37" customWidth="1" min="6" max="6"/>
    <col width="47" customWidth="1" min="7" max="7"/>
    <col width="33" customWidth="1" min="8" max="8"/>
    <col width="13" customWidth="1" min="9" max="9"/>
    <col width="13" customWidth="1" min="10" max="10"/>
  </cols>
  <sheetData>
    <row r="1" ht="34" customHeight="1">
      <c r="A1" s="1" t="inlineStr">
        <is>
          <t>BAGIAN G: OPERASIONAL TOKO, CHECKLIST SOP &amp; LOG KOMPLAIN</t>
        </is>
      </c>
    </row>
    <row r="2" ht="22" customHeight="1">
      <c r="A2" s="2" t="inlineStr">
        <is>
          <t>Standar Checklist Buka/Tutup Toko, Pemeliharaan Aset Mesin &amp; Penanganan Komplain Pelanggan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1. CHECKLIST HARIAN BUKA &amp; TUTUP OUTLET / TOKO</t>
        </is>
      </c>
    </row>
    <row r="6">
      <c r="B6" s="9" t="inlineStr">
        <is>
          <t>No</t>
        </is>
      </c>
      <c r="C6" s="9" t="inlineStr">
        <is>
          <t>Waktu Shift</t>
        </is>
      </c>
      <c r="D6" s="9" t="inlineStr">
        <is>
          <t>Poin Pemeriksaan Pekerjaan (SOP)</t>
        </is>
      </c>
      <c r="E6" s="9" t="inlineStr">
        <is>
          <t>Penanggung Jawab</t>
        </is>
      </c>
      <c r="F6" s="9" t="inlineStr">
        <is>
          <t>Waktu Selesai</t>
        </is>
      </c>
      <c r="G6" s="9" t="inlineStr">
        <is>
          <t>Status Pekerjaan</t>
        </is>
      </c>
      <c r="H6" s="9" t="inlineStr">
        <is>
          <t>Catatan Verifikasi</t>
        </is>
      </c>
    </row>
    <row r="7">
      <c r="B7" s="30" t="n">
        <v>1</v>
      </c>
      <c r="C7" s="30" t="inlineStr">
        <is>
          <t>Pagi (Buka)</t>
        </is>
      </c>
      <c r="D7" s="31" t="inlineStr">
        <is>
          <t>Nyalakan lampu, AC, dan musik latar outlet</t>
        </is>
      </c>
      <c r="E7" s="30" t="inlineStr">
        <is>
          <t>Andi</t>
        </is>
      </c>
      <c r="F7" s="30" t="inlineStr">
        <is>
          <t>07:30</t>
        </is>
      </c>
      <c r="G7" s="19" t="inlineStr">
        <is>
          <t>Selesai</t>
        </is>
      </c>
      <c r="H7" s="31" t="inlineStr">
        <is>
          <t>AC suhu 23C nyaman</t>
        </is>
      </c>
    </row>
    <row r="8">
      <c r="B8" s="30" t="n">
        <v>2</v>
      </c>
      <c r="C8" s="30" t="inlineStr">
        <is>
          <t>Pagi (Buka)</t>
        </is>
      </c>
      <c r="D8" s="31" t="inlineStr">
        <is>
          <t>Cek kebersihan area meja, lantai, dan toilet</t>
        </is>
      </c>
      <c r="E8" s="30" t="inlineStr">
        <is>
          <t>Doni</t>
        </is>
      </c>
      <c r="F8" s="30" t="inlineStr">
        <is>
          <t>07:45</t>
        </is>
      </c>
      <c r="G8" s="19" t="inlineStr">
        <is>
          <t>Selesai</t>
        </is>
      </c>
      <c r="H8" s="31" t="inlineStr">
        <is>
          <t>Area bersih dan wangi</t>
        </is>
      </c>
    </row>
    <row r="9">
      <c r="B9" s="30" t="n">
        <v>3</v>
      </c>
      <c r="C9" s="30" t="inlineStr">
        <is>
          <t>Pagi (Buka)</t>
        </is>
      </c>
      <c r="D9" s="31" t="inlineStr">
        <is>
          <t>Hitung modal kas kecil di laci kasir (Rp 300.000)</t>
        </is>
      </c>
      <c r="E9" s="30" t="inlineStr">
        <is>
          <t>Rina</t>
        </is>
      </c>
      <c r="F9" s="30" t="inlineStr">
        <is>
          <t>07:50</t>
        </is>
      </c>
      <c r="G9" s="19" t="inlineStr">
        <is>
          <t>Selesai</t>
        </is>
      </c>
      <c r="H9" s="31" t="inlineStr">
        <is>
          <t>Uang pas lembaran kecil</t>
        </is>
      </c>
    </row>
    <row r="10">
      <c r="B10" s="30" t="n">
        <v>4</v>
      </c>
      <c r="C10" s="30" t="inlineStr">
        <is>
          <t>Pagi (Buka)</t>
        </is>
      </c>
      <c r="D10" s="31" t="inlineStr">
        <is>
          <t>Cek kesiapan mesin espresso &amp; kalibrasi gilingan kopi</t>
        </is>
      </c>
      <c r="E10" s="30" t="inlineStr">
        <is>
          <t>Andi</t>
        </is>
      </c>
      <c r="F10" s="30" t="inlineStr">
        <is>
          <t>07:55</t>
        </is>
      </c>
      <c r="G10" s="19" t="inlineStr">
        <is>
          <t>Selesai</t>
        </is>
      </c>
      <c r="H10" s="31" t="inlineStr">
        <is>
          <t>Ekstraksi espresso 28 detik</t>
        </is>
      </c>
    </row>
    <row r="11">
      <c r="B11" s="30" t="n">
        <v>5</v>
      </c>
      <c r="C11" s="30" t="inlineStr">
        <is>
          <t>Malam (Tutup)</t>
        </is>
      </c>
      <c r="D11" s="31" t="inlineStr">
        <is>
          <t>Tutup shift kasir, cetak laporan Z &amp; hitung uang fisik</t>
        </is>
      </c>
      <c r="E11" s="30" t="inlineStr">
        <is>
          <t>Rina</t>
        </is>
      </c>
      <c r="F11" s="30" t="inlineStr">
        <is>
          <t>22:15</t>
        </is>
      </c>
      <c r="G11" s="19" t="inlineStr">
        <is>
          <t>Selesai</t>
        </is>
      </c>
      <c r="H11" s="31" t="inlineStr">
        <is>
          <t>Kas fisik cocok dengan sistem</t>
        </is>
      </c>
    </row>
    <row r="12">
      <c r="B12" s="30" t="n">
        <v>6</v>
      </c>
      <c r="C12" s="30" t="inlineStr">
        <is>
          <t>Malam (Tutup)</t>
        </is>
      </c>
      <c r="D12" s="31" t="inlineStr">
        <is>
          <t>Bersihkan portafilter, backflush mesin &amp; buang sampah</t>
        </is>
      </c>
      <c r="E12" s="30" t="inlineStr">
        <is>
          <t>Doni</t>
        </is>
      </c>
      <c r="F12" s="30" t="inlineStr">
        <is>
          <t>22:30</t>
        </is>
      </c>
      <c r="G12" s="19" t="inlineStr">
        <is>
          <t>Selesai</t>
        </is>
      </c>
      <c r="H12" s="31" t="inlineStr">
        <is>
          <t>Area bar bersih steril</t>
        </is>
      </c>
    </row>
    <row r="13">
      <c r="B13" s="30" t="n">
        <v>7</v>
      </c>
      <c r="C13" s="30" t="inlineStr">
        <is>
          <t>Malam (Tutup)</t>
        </is>
      </c>
      <c r="D13" s="31" t="inlineStr">
        <is>
          <t>Pastikan semua kran air mati, matikan AC, dan kunci pintu</t>
        </is>
      </c>
      <c r="E13" s="30" t="inlineStr">
        <is>
          <t>Andi</t>
        </is>
      </c>
      <c r="F13" s="30" t="inlineStr">
        <is>
          <t>22:45</t>
        </is>
      </c>
      <c r="G13" s="19" t="inlineStr">
        <is>
          <t>Selesai</t>
        </is>
      </c>
      <c r="H13" s="31" t="inlineStr">
        <is>
          <t>Gembok pintu utama aman</t>
        </is>
      </c>
    </row>
    <row r="14"/>
    <row r="15"/>
    <row r="16">
      <c r="B16" s="4" t="inlineStr">
        <is>
          <t>2. LOG MONITORING &amp; PENANGANAN KOMPLAIN PELANGGAN</t>
        </is>
      </c>
    </row>
    <row r="17">
      <c r="B17" s="10" t="inlineStr">
        <is>
          <t>Tanggal</t>
        </is>
      </c>
      <c r="C17" s="10" t="inlineStr">
        <is>
          <t>Nama Pelanggan</t>
        </is>
      </c>
      <c r="D17" s="10" t="inlineStr">
        <is>
          <t>Kontak WA</t>
        </is>
      </c>
      <c r="E17" s="10" t="inlineStr">
        <is>
          <t>Saluran</t>
        </is>
      </c>
      <c r="F17" s="10" t="inlineStr">
        <is>
          <t>Keluhan / Masalah</t>
        </is>
      </c>
      <c r="G17" s="10" t="inlineStr">
        <is>
          <t>Solusi Penanganan</t>
        </is>
      </c>
      <c r="H17" s="10" t="inlineStr">
        <is>
          <t>Status</t>
        </is>
      </c>
    </row>
    <row r="18">
      <c r="B18" s="30" t="inlineStr">
        <is>
          <t>2026-10-02</t>
        </is>
      </c>
      <c r="C18" s="31" t="inlineStr">
        <is>
          <t>Ibu Linda</t>
        </is>
      </c>
      <c r="D18" s="30" t="inlineStr">
        <is>
          <t>081299881122</t>
        </is>
      </c>
      <c r="E18" s="31" t="inlineStr">
        <is>
          <t>GoFood / Ojol</t>
        </is>
      </c>
      <c r="F18" s="31" t="inlineStr">
        <is>
          <t>Cup kopi bocor karena seal miring</t>
        </is>
      </c>
      <c r="G18" s="31" t="inlineStr">
        <is>
          <t>Kirim minuman pengganti + voucher Rp 20rb</t>
        </is>
      </c>
      <c r="H18" s="19" t="inlineStr">
        <is>
          <t>Selesai</t>
        </is>
      </c>
    </row>
    <row r="19">
      <c r="B19" s="30" t="inlineStr">
        <is>
          <t>2026-10-04</t>
        </is>
      </c>
      <c r="C19" s="31" t="inlineStr">
        <is>
          <t>Pak Kevin</t>
        </is>
      </c>
      <c r="D19" s="30" t="inlineStr">
        <is>
          <t>081822334455</t>
        </is>
      </c>
      <c r="E19" s="31" t="inlineStr">
        <is>
          <t>Toko Langsung</t>
        </is>
      </c>
      <c r="F19" s="31" t="inlineStr">
        <is>
          <t>Pesanan croissant agak dingin</t>
        </is>
      </c>
      <c r="G19" s="31" t="inlineStr">
        <is>
          <t>Dipanaskan ulang + permohonan maaf langsung</t>
        </is>
      </c>
      <c r="H19" s="19" t="inlineStr">
        <is>
          <t>Selesai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8" customWidth="1" min="2" max="2"/>
    <col width="20" customWidth="1" min="3" max="3"/>
    <col width="28" customWidth="1" min="4" max="4"/>
    <col width="27" customWidth="1" min="5" max="5"/>
    <col width="25" customWidth="1" min="6" max="6"/>
    <col width="16" customWidth="1" min="7" max="7"/>
    <col width="37" customWidth="1" min="8" max="8"/>
    <col width="23" customWidth="1" min="9" max="9"/>
    <col width="13" customWidth="1" min="10" max="10"/>
    <col width="13" customWidth="1" min="11" max="11"/>
    <col width="13" customWidth="1" min="12" max="12"/>
  </cols>
  <sheetData>
    <row r="1" ht="34" customHeight="1">
      <c r="A1" s="1" t="inlineStr">
        <is>
          <t>BAGIAN H: JURNAL UMUM, PENYUSUTAN ASET &amp; REKAP PAJAK PPh UMKM</t>
        </is>
      </c>
    </row>
    <row r="2" ht="22" customHeight="1">
      <c r="A2" s="2" t="inlineStr">
        <is>
          <t>Standar Pembukuan Debit/Kredit, Jadwal Depresiasi Aset &amp; Rekap Pajak Final 0.5% (PP 55/2022)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1. JURNAL UMUM STANDAR AKUNTANSI (DOUBLE ENTRY)</t>
        </is>
      </c>
    </row>
    <row r="6">
      <c r="B6" s="10" t="inlineStr">
        <is>
          <t>Tanggal</t>
        </is>
      </c>
      <c r="C6" s="10" t="inlineStr">
        <is>
          <t>No Bukti</t>
        </is>
      </c>
      <c r="D6" s="10" t="inlineStr">
        <is>
          <t>Nama Akun Rekening</t>
        </is>
      </c>
      <c r="E6" s="10" t="inlineStr">
        <is>
          <t>Ref</t>
        </is>
      </c>
      <c r="F6" s="10" t="inlineStr">
        <is>
          <t>Debit (Rp)</t>
        </is>
      </c>
      <c r="G6" s="10" t="inlineStr">
        <is>
          <t>Kredit (Rp)</t>
        </is>
      </c>
      <c r="H6" s="10" t="inlineStr">
        <is>
          <t>Keterangan Transaksi</t>
        </is>
      </c>
    </row>
    <row r="7">
      <c r="B7" s="30" t="inlineStr">
        <is>
          <t>2026-10-01</t>
        </is>
      </c>
      <c r="C7" s="30" t="inlineStr">
        <is>
          <t>BKM-01</t>
        </is>
      </c>
      <c r="D7" s="31" t="inlineStr">
        <is>
          <t>Kas Toko</t>
        </is>
      </c>
      <c r="E7" s="30" t="inlineStr">
        <is>
          <t>101</t>
        </is>
      </c>
      <c r="F7" s="32" t="n">
        <v>2450000</v>
      </c>
      <c r="G7" s="32" t="n">
        <v>0</v>
      </c>
      <c r="H7" s="31" t="inlineStr">
        <is>
          <t>Penerimaan penjualan harian kasir</t>
        </is>
      </c>
    </row>
    <row r="8">
      <c r="B8" s="30" t="inlineStr">
        <is>
          <t>2026-10-01</t>
        </is>
      </c>
      <c r="C8" s="30" t="inlineStr">
        <is>
          <t>BKM-01</t>
        </is>
      </c>
      <c r="D8" s="31" t="inlineStr">
        <is>
          <t>Pendapatan Penjualan</t>
        </is>
      </c>
      <c r="E8" s="30" t="inlineStr">
        <is>
          <t>401</t>
        </is>
      </c>
      <c r="F8" s="32" t="n">
        <v>0</v>
      </c>
      <c r="G8" s="32" t="n">
        <v>2450000</v>
      </c>
      <c r="H8" s="31" t="inlineStr">
        <is>
          <t>Penerimaan penjualan harian kasir</t>
        </is>
      </c>
    </row>
    <row r="9">
      <c r="B9" s="30" t="inlineStr">
        <is>
          <t>2026-10-01</t>
        </is>
      </c>
      <c r="C9" s="30" t="inlineStr">
        <is>
          <t>BKK-01</t>
        </is>
      </c>
      <c r="D9" s="31" t="inlineStr">
        <is>
          <t>Beban Bahan Baku (HPP)</t>
        </is>
      </c>
      <c r="E9" s="30" t="inlineStr">
        <is>
          <t>501</t>
        </is>
      </c>
      <c r="F9" s="32" t="n">
        <v>850000</v>
      </c>
      <c r="G9" s="32" t="n">
        <v>0</v>
      </c>
      <c r="H9" s="31" t="inlineStr">
        <is>
          <t>Belanja susu fresh milk &amp; sirup</t>
        </is>
      </c>
    </row>
    <row r="10">
      <c r="B10" s="30" t="inlineStr">
        <is>
          <t>2026-10-01</t>
        </is>
      </c>
      <c r="C10" s="30" t="inlineStr">
        <is>
          <t>BKK-01</t>
        </is>
      </c>
      <c r="D10" s="31" t="inlineStr">
        <is>
          <t>Kas Toko</t>
        </is>
      </c>
      <c r="E10" s="30" t="inlineStr">
        <is>
          <t>101</t>
        </is>
      </c>
      <c r="F10" s="32" t="n">
        <v>0</v>
      </c>
      <c r="G10" s="32" t="n">
        <v>850000</v>
      </c>
      <c r="H10" s="31" t="inlineStr">
        <is>
          <t>Belanja susu fresh milk &amp; sirup</t>
        </is>
      </c>
    </row>
    <row r="11">
      <c r="B11" s="30" t="inlineStr">
        <is>
          <t>2026-10-02</t>
        </is>
      </c>
      <c r="C11" s="30" t="inlineStr">
        <is>
          <t>BKK-02</t>
        </is>
      </c>
      <c r="D11" s="31" t="inlineStr">
        <is>
          <t>Beban Listrik &amp; Internet</t>
        </is>
      </c>
      <c r="E11" s="30" t="inlineStr">
        <is>
          <t>602</t>
        </is>
      </c>
      <c r="F11" s="32" t="n">
        <v>1250000</v>
      </c>
      <c r="G11" s="32" t="n">
        <v>0</v>
      </c>
      <c r="H11" s="31" t="inlineStr">
        <is>
          <t>Pembayaran PLN &amp; Indihome toko</t>
        </is>
      </c>
    </row>
    <row r="12">
      <c r="B12" s="30" t="inlineStr">
        <is>
          <t>2026-10-02</t>
        </is>
      </c>
      <c r="C12" s="30" t="inlineStr">
        <is>
          <t>BKK-02</t>
        </is>
      </c>
      <c r="D12" s="31" t="inlineStr">
        <is>
          <t>Kas Bank BCA</t>
        </is>
      </c>
      <c r="E12" s="30" t="inlineStr">
        <is>
          <t>102</t>
        </is>
      </c>
      <c r="F12" s="32" t="n">
        <v>0</v>
      </c>
      <c r="G12" s="32" t="n">
        <v>1250000</v>
      </c>
      <c r="H12" s="31" t="inlineStr">
        <is>
          <t>Pembayaran PLN &amp; Indihome toko</t>
        </is>
      </c>
    </row>
    <row r="13">
      <c r="B13" s="26" t="n"/>
      <c r="C13" s="26" t="n"/>
      <c r="D13" s="26" t="n"/>
      <c r="E13" s="27" t="inlineStr">
        <is>
          <t>TOTAL &amp; STATUS BALANCE:</t>
        </is>
      </c>
      <c r="F13" s="29">
        <f>SUM(F7:F12)</f>
        <v/>
      </c>
      <c r="G13" s="29">
        <f>SUM(G7:G12)</f>
        <v/>
      </c>
      <c r="H13" s="63">
        <f>IF(F13=G13, "✅ BALANCE / SEIMBANG", "❌ TIDAK BALANCE!")</f>
        <v/>
      </c>
    </row>
    <row r="14"/>
    <row r="15">
      <c r="B15" s="4" t="inlineStr">
        <is>
          <t>2. REKAPITULASI OMZET BULANAN &amp; PPh FINAL UMKM 0.5% (PP 55/2022)</t>
        </is>
      </c>
    </row>
    <row r="16">
      <c r="B16" s="9" t="inlineStr">
        <is>
          <t>Bulan</t>
        </is>
      </c>
      <c r="C16" s="9" t="inlineStr">
        <is>
          <t>Omzet Bruto (Rp)</t>
        </is>
      </c>
      <c r="D16" s="9" t="inlineStr">
        <is>
          <t>Akumulasi Omzet (Rp)</t>
        </is>
      </c>
      <c r="E16" s="9" t="inlineStr">
        <is>
          <t>Batas Bebas Pajak (OP)</t>
        </is>
      </c>
      <c r="F16" s="9" t="inlineStr">
        <is>
          <t>Dasar Pengenaan Pajak</t>
        </is>
      </c>
      <c r="G16" s="9" t="inlineStr">
        <is>
          <t>Tarif PPh</t>
        </is>
      </c>
      <c r="H16" s="9" t="inlineStr">
        <is>
          <t>Pajak Terutang (Rp)</t>
        </is>
      </c>
      <c r="I16" s="9" t="inlineStr">
        <is>
          <t>Status Setor &amp; NTPN</t>
        </is>
      </c>
    </row>
    <row r="17">
      <c r="B17" s="30" t="inlineStr">
        <is>
          <t>Januari</t>
        </is>
      </c>
      <c r="C17" s="32" t="n">
        <v>35000000</v>
      </c>
      <c r="D17" s="33">
        <f>C17</f>
        <v/>
      </c>
      <c r="E17" s="64" t="n">
        <v>500000000</v>
      </c>
      <c r="F17" s="33">
        <f>IF(D17&gt;E17, MIN(C17, D17-E17), 0)</f>
        <v/>
      </c>
      <c r="G17" s="65" t="n">
        <v>0.005</v>
      </c>
      <c r="H17" s="66">
        <f>F17*G17</f>
        <v/>
      </c>
      <c r="I17" s="30" t="inlineStr">
        <is>
          <t>Lunas Disetor</t>
        </is>
      </c>
    </row>
    <row r="18">
      <c r="B18" s="30" t="inlineStr">
        <is>
          <t>Februari</t>
        </is>
      </c>
      <c r="C18" s="32" t="n">
        <v>42000000</v>
      </c>
      <c r="D18" s="33">
        <f>D17+C18</f>
        <v/>
      </c>
      <c r="E18" s="64" t="n">
        <v>500000000</v>
      </c>
      <c r="F18" s="33">
        <f>IF(D18&gt;E18, MIN(C18, D18-E18), 0)</f>
        <v/>
      </c>
      <c r="G18" s="65" t="n">
        <v>0.005</v>
      </c>
      <c r="H18" s="66">
        <f>F18*G18</f>
        <v/>
      </c>
      <c r="I18" s="30" t="inlineStr">
        <is>
          <t>Lunas Disetor</t>
        </is>
      </c>
    </row>
    <row r="19">
      <c r="B19" s="30" t="inlineStr">
        <is>
          <t>Maret</t>
        </is>
      </c>
      <c r="C19" s="32" t="n">
        <v>38000000</v>
      </c>
      <c r="D19" s="33">
        <f>D18+C19</f>
        <v/>
      </c>
      <c r="E19" s="64" t="n">
        <v>500000000</v>
      </c>
      <c r="F19" s="33">
        <f>IF(D19&gt;E19, MIN(C19, D19-E19), 0)</f>
        <v/>
      </c>
      <c r="G19" s="65" t="n">
        <v>0.005</v>
      </c>
      <c r="H19" s="66">
        <f>F19*G19</f>
        <v/>
      </c>
      <c r="I19" s="30" t="inlineStr">
        <is>
          <t>Lunas Disetor</t>
        </is>
      </c>
    </row>
    <row r="20">
      <c r="B20" s="30" t="inlineStr">
        <is>
          <t>April</t>
        </is>
      </c>
      <c r="C20" s="32" t="n">
        <v>45000000</v>
      </c>
      <c r="D20" s="33">
        <f>D19+C20</f>
        <v/>
      </c>
      <c r="E20" s="64" t="n">
        <v>500000000</v>
      </c>
      <c r="F20" s="33">
        <f>IF(D20&gt;E20, MIN(C20, D20-E20), 0)</f>
        <v/>
      </c>
      <c r="G20" s="65" t="n">
        <v>0.005</v>
      </c>
      <c r="H20" s="66">
        <f>F20*G20</f>
        <v/>
      </c>
      <c r="I20" s="30" t="inlineStr">
        <is>
          <t>Lunas Disetor</t>
        </is>
      </c>
    </row>
    <row r="21">
      <c r="B21" s="30" t="inlineStr">
        <is>
          <t>Mei</t>
        </is>
      </c>
      <c r="C21" s="32" t="n">
        <v>48000000</v>
      </c>
      <c r="D21" s="33">
        <f>D20+C21</f>
        <v/>
      </c>
      <c r="E21" s="64" t="n">
        <v>500000000</v>
      </c>
      <c r="F21" s="33">
        <f>IF(D21&gt;E21, MIN(C21, D21-E21), 0)</f>
        <v/>
      </c>
      <c r="G21" s="65" t="n">
        <v>0.005</v>
      </c>
      <c r="H21" s="66">
        <f>F21*G21</f>
        <v/>
      </c>
      <c r="I21" s="30" t="inlineStr">
        <is>
          <t>Lunas Disetor</t>
        </is>
      </c>
    </row>
    <row r="22">
      <c r="B22" s="30" t="inlineStr">
        <is>
          <t>Juni</t>
        </is>
      </c>
      <c r="C22" s="32" t="n">
        <v>52000000</v>
      </c>
      <c r="D22" s="33">
        <f>D21+C22</f>
        <v/>
      </c>
      <c r="E22" s="64" t="n">
        <v>500000000</v>
      </c>
      <c r="F22" s="33">
        <f>IF(D22&gt;E22, MIN(C22, D22-E22), 0)</f>
        <v/>
      </c>
      <c r="G22" s="65" t="n">
        <v>0.005</v>
      </c>
      <c r="H22" s="66">
        <f>F22*G22</f>
        <v/>
      </c>
      <c r="I22" s="30" t="inlineStr">
        <is>
          <t>Lunas Disetor</t>
        </is>
      </c>
    </row>
    <row r="23">
      <c r="B23" s="30" t="inlineStr">
        <is>
          <t>Juli</t>
        </is>
      </c>
      <c r="C23" s="32" t="n">
        <v>55000000</v>
      </c>
      <c r="D23" s="33">
        <f>D22+C23</f>
        <v/>
      </c>
      <c r="E23" s="64" t="n">
        <v>500000000</v>
      </c>
      <c r="F23" s="33">
        <f>IF(D23&gt;E23, MIN(C23, D23-E23), 0)</f>
        <v/>
      </c>
      <c r="G23" s="65" t="n">
        <v>0.005</v>
      </c>
      <c r="H23" s="66">
        <f>F23*G23</f>
        <v/>
      </c>
      <c r="I23" s="30" t="inlineStr">
        <is>
          <t>Lunas Disetor</t>
        </is>
      </c>
    </row>
    <row r="24">
      <c r="B24" s="30" t="inlineStr">
        <is>
          <t>Agustus</t>
        </is>
      </c>
      <c r="C24" s="32" t="n">
        <v>58000000</v>
      </c>
      <c r="D24" s="33">
        <f>D23+C24</f>
        <v/>
      </c>
      <c r="E24" s="64" t="n">
        <v>500000000</v>
      </c>
      <c r="F24" s="33">
        <f>IF(D24&gt;E24, MIN(C24, D24-E24), 0)</f>
        <v/>
      </c>
      <c r="G24" s="65" t="n">
        <v>0.005</v>
      </c>
      <c r="H24" s="66">
        <f>F24*G24</f>
        <v/>
      </c>
      <c r="I24" s="30" t="inlineStr">
        <is>
          <t>Lunas Disetor</t>
        </is>
      </c>
    </row>
    <row r="25">
      <c r="B25" s="30" t="inlineStr">
        <is>
          <t>September</t>
        </is>
      </c>
      <c r="C25" s="32" t="n">
        <v>60000000</v>
      </c>
      <c r="D25" s="33">
        <f>D24+C25</f>
        <v/>
      </c>
      <c r="E25" s="64" t="n">
        <v>500000000</v>
      </c>
      <c r="F25" s="33">
        <f>IF(D25&gt;E25, MIN(C25, D25-E25), 0)</f>
        <v/>
      </c>
      <c r="G25" s="65" t="n">
        <v>0.005</v>
      </c>
      <c r="H25" s="66">
        <f>F25*G25</f>
        <v/>
      </c>
      <c r="I25" s="30" t="inlineStr">
        <is>
          <t>Lunas Disetor</t>
        </is>
      </c>
    </row>
    <row r="26">
      <c r="B26" s="30" t="inlineStr">
        <is>
          <t>Oktober</t>
        </is>
      </c>
      <c r="C26" s="32" t="n">
        <v>62000000</v>
      </c>
      <c r="D26" s="33">
        <f>D25+C26</f>
        <v/>
      </c>
      <c r="E26" s="64" t="n">
        <v>500000000</v>
      </c>
      <c r="F26" s="33">
        <f>IF(D26&gt;E26, MIN(C26, D26-E26), 0)</f>
        <v/>
      </c>
      <c r="G26" s="65" t="n">
        <v>0.005</v>
      </c>
      <c r="H26" s="66">
        <f>F26*G26</f>
        <v/>
      </c>
      <c r="I26" s="30" t="inlineStr">
        <is>
          <t>Lunas Disetor</t>
        </is>
      </c>
    </row>
    <row r="27">
      <c r="B27" s="30" t="inlineStr">
        <is>
          <t>November</t>
        </is>
      </c>
      <c r="C27" s="32" t="n">
        <v>0</v>
      </c>
      <c r="D27" s="33">
        <f>D26+C27</f>
        <v/>
      </c>
      <c r="E27" s="64" t="n">
        <v>500000000</v>
      </c>
      <c r="F27" s="33">
        <f>IF(D27&gt;E27, MIN(C27, D27-E27), 0)</f>
        <v/>
      </c>
      <c r="G27" s="65" t="n">
        <v>0.005</v>
      </c>
      <c r="H27" s="66">
        <f>F27*G27</f>
        <v/>
      </c>
      <c r="I27" s="30" t="inlineStr">
        <is>
          <t>Belum Masa</t>
        </is>
      </c>
    </row>
    <row r="28">
      <c r="B28" s="30" t="inlineStr">
        <is>
          <t>Desember</t>
        </is>
      </c>
      <c r="C28" s="32" t="n">
        <v>0</v>
      </c>
      <c r="D28" s="33">
        <f>D27+C28</f>
        <v/>
      </c>
      <c r="E28" s="64" t="n">
        <v>500000000</v>
      </c>
      <c r="F28" s="33">
        <f>IF(D28&gt;E28, MIN(C28, D28-E28), 0)</f>
        <v/>
      </c>
      <c r="G28" s="65" t="n">
        <v>0.005</v>
      </c>
      <c r="H28" s="66">
        <f>F28*G28</f>
        <v/>
      </c>
      <c r="I28" s="30" t="inlineStr">
        <is>
          <t>Belum Masa</t>
        </is>
      </c>
    </row>
    <row r="29">
      <c r="B29" s="16" t="inlineStr">
        <is>
          <t>TOTAL TAHUNAN:</t>
        </is>
      </c>
      <c r="C29" s="29">
        <f>SUM(C17:C28)</f>
        <v/>
      </c>
      <c r="D29" s="26" t="n"/>
      <c r="E29" s="26" t="n"/>
      <c r="F29" s="26" t="n"/>
      <c r="G29" s="26" t="n"/>
      <c r="H29" s="29">
        <f>SUM(H17:H28)</f>
        <v/>
      </c>
      <c r="I29" s="26" t="n"/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2026-10-26T04:54:29Z</dcterms:created>
  <dcterms:modified xsi:type="dcterms:W3CDTF">2026-10-26T04:54:29Z</dcterms:modified>
</cp:coreProperties>
</file>