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LAPORAN_PENJUALAN" sheetId="1" state="visible" r:id="rId1"/>
    <sheet name="02_CRM_DAN_KOM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;(&quot;Rp&quot;#,##0);&quot;-&quot;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FFFFFF"/>
      <sz val="10"/>
    </font>
    <font>
      <name val="Segoe UI"/>
      <b val="1"/>
      <color rgb="00DC2626"/>
      <sz val="10"/>
    </font>
    <font>
      <name val="Segoe U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6D28D9"/>
        <bgColor rgb="006D28D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0" fillId="5" borderId="1" pivotButton="0" quotePrefix="0" xfId="0"/>
    <xf numFmtId="164" fontId="0" fillId="3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7" borderId="2" applyAlignment="1" pivotButton="0" quotePrefix="0" xfId="0">
      <alignment horizontal="right" vertical="center"/>
    </xf>
    <xf numFmtId="3" fontId="6" fillId="7" borderId="2" pivotButton="0" quotePrefix="0" xfId="0"/>
    <xf numFmtId="164" fontId="6" fillId="7" borderId="2" pivotButton="0" quotePrefix="0" xfId="0"/>
    <xf numFmtId="0" fontId="4" fillId="8" borderId="1" applyAlignment="1" pivotButton="0" quotePrefix="0" xfId="0">
      <alignment horizontal="center" vertical="center" wrapText="1"/>
    </xf>
    <xf numFmtId="3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24" customWidth="1" min="4" max="4"/>
    <col width="16" customWidth="1" min="5" max="5"/>
    <col width="16" customWidth="1" min="6" max="6"/>
    <col width="26" customWidth="1" min="7" max="7"/>
    <col width="16" customWidth="1" min="8" max="8"/>
    <col width="16" customWidth="1" min="9" max="9"/>
    <col width="16" customWidth="1" min="10" max="10"/>
    <col width="13" customWidth="1" min="11" max="11"/>
    <col width="16" customWidth="1" min="12" max="12"/>
    <col width="16" customWidth="1" min="13" max="13"/>
    <col width="13" customWidth="1" min="14" max="14"/>
  </cols>
  <sheetData>
    <row r="1" ht="34" customHeight="1">
      <c r="A1" s="1" t="inlineStr">
        <is>
          <t>MODUL A: PENJUALAN HARIAN, BULANAN &amp; INVOICE</t>
        </is>
      </c>
    </row>
    <row r="2" ht="22" customHeight="1">
      <c r="A2" s="2" t="inlineStr">
        <is>
          <t>Pencatatan Penjualan Multi-Kanal, Diskon, Status Bayar &amp; Rekap Omzet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4" t="inlineStr">
        <is>
          <t>No</t>
        </is>
      </c>
      <c r="B5" s="4" t="inlineStr">
        <is>
          <t>Tanggal</t>
        </is>
      </c>
      <c r="C5" s="4" t="inlineStr">
        <is>
          <t>No Invoice</t>
        </is>
      </c>
      <c r="D5" s="4" t="inlineStr">
        <is>
          <t>Pelanggan</t>
        </is>
      </c>
      <c r="E5" s="4" t="inlineStr">
        <is>
          <t>WhatsApp</t>
        </is>
      </c>
      <c r="F5" s="4" t="inlineStr">
        <is>
          <t>Kanal</t>
        </is>
      </c>
      <c r="G5" s="4" t="inlineStr">
        <is>
          <t>Produk / SKU</t>
        </is>
      </c>
      <c r="H5" s="4" t="inlineStr">
        <is>
          <t>Qty</t>
        </is>
      </c>
      <c r="I5" s="4" t="inlineStr">
        <is>
          <t>Harga Satuan</t>
        </is>
      </c>
      <c r="J5" s="4" t="inlineStr">
        <is>
          <t>Total Kotor</t>
        </is>
      </c>
      <c r="K5" s="4" t="inlineStr">
        <is>
          <t>Diskon</t>
        </is>
      </c>
      <c r="L5" s="4" t="inlineStr">
        <is>
          <t>Total Bersih</t>
        </is>
      </c>
      <c r="M5" s="4" t="inlineStr">
        <is>
          <t>Status Bayar</t>
        </is>
      </c>
    </row>
    <row r="6">
      <c r="A6" s="5" t="n">
        <v>1</v>
      </c>
      <c r="B6" s="5" t="inlineStr">
        <is>
          <t>2026-10-01</t>
        </is>
      </c>
      <c r="C6" s="5" t="inlineStr">
        <is>
          <t>INV-001</t>
        </is>
      </c>
      <c r="D6" s="6" t="inlineStr">
        <is>
          <t>Budi Santoso</t>
        </is>
      </c>
      <c r="E6" s="5" t="inlineStr">
        <is>
          <t>081234567890</t>
        </is>
      </c>
      <c r="F6" s="6" t="inlineStr">
        <is>
          <t>Toko Offline</t>
        </is>
      </c>
      <c r="G6" s="6" t="inlineStr">
        <is>
          <t>Kopi Susu Gula Aren</t>
        </is>
      </c>
      <c r="H6" s="7" t="n">
        <v>5</v>
      </c>
      <c r="I6" s="8" t="n">
        <v>18000</v>
      </c>
      <c r="J6" s="9">
        <f>H6*I6</f>
        <v/>
      </c>
      <c r="K6" s="10" t="n">
        <v>0</v>
      </c>
      <c r="L6" s="9">
        <f>J6-K6</f>
        <v/>
      </c>
      <c r="M6" s="5" t="inlineStr">
        <is>
          <t>Lunas</t>
        </is>
      </c>
    </row>
    <row r="7">
      <c r="A7" s="5" t="n">
        <v>2</v>
      </c>
      <c r="B7" s="5" t="inlineStr">
        <is>
          <t>2026-10-01</t>
        </is>
      </c>
      <c r="C7" s="5" t="inlineStr">
        <is>
          <t>INV-002</t>
        </is>
      </c>
      <c r="D7" s="6" t="inlineStr">
        <is>
          <t>Siti Rahma</t>
        </is>
      </c>
      <c r="E7" s="5" t="inlineStr">
        <is>
          <t>081398765432</t>
        </is>
      </c>
      <c r="F7" s="6" t="inlineStr">
        <is>
          <t>Shopee</t>
        </is>
      </c>
      <c r="G7" s="6" t="inlineStr">
        <is>
          <t>Biji Kopi Robusta 250g</t>
        </is>
      </c>
      <c r="H7" s="7" t="n">
        <v>2</v>
      </c>
      <c r="I7" s="8" t="n">
        <v>65000</v>
      </c>
      <c r="J7" s="9">
        <f>H7*I7</f>
        <v/>
      </c>
      <c r="K7" s="10" t="n">
        <v>5000</v>
      </c>
      <c r="L7" s="9">
        <f>J7-K7</f>
        <v/>
      </c>
      <c r="M7" s="5" t="inlineStr">
        <is>
          <t>Lunas</t>
        </is>
      </c>
    </row>
    <row r="8">
      <c r="A8" s="5" t="n">
        <v>3</v>
      </c>
      <c r="B8" s="5" t="inlineStr">
        <is>
          <t>2026-10-02</t>
        </is>
      </c>
      <c r="C8" s="5" t="inlineStr">
        <is>
          <t>INV-003</t>
        </is>
      </c>
      <c r="D8" s="6" t="inlineStr">
        <is>
          <t>Warung Berkah Bu Ani</t>
        </is>
      </c>
      <c r="E8" s="5" t="inlineStr">
        <is>
          <t>081512345678</t>
        </is>
      </c>
      <c r="F8" s="6" t="inlineStr">
        <is>
          <t>WhatsApp B2B</t>
        </is>
      </c>
      <c r="G8" s="6" t="inlineStr">
        <is>
          <t>Sirup Karamel 1L</t>
        </is>
      </c>
      <c r="H8" s="7" t="n">
        <v>10</v>
      </c>
      <c r="I8" s="8" t="n">
        <v>85000</v>
      </c>
      <c r="J8" s="9">
        <f>H8*I8</f>
        <v/>
      </c>
      <c r="K8" s="10" t="n">
        <v>50000</v>
      </c>
      <c r="L8" s="9">
        <f>J8-K8</f>
        <v/>
      </c>
      <c r="M8" s="11" t="inlineStr">
        <is>
          <t>Belum Lunas</t>
        </is>
      </c>
    </row>
    <row r="9">
      <c r="A9" s="5" t="n">
        <v>4</v>
      </c>
      <c r="B9" s="5" t="inlineStr">
        <is>
          <t>2026-10-02</t>
        </is>
      </c>
      <c r="C9" s="5" t="inlineStr">
        <is>
          <t>INV-004</t>
        </is>
      </c>
      <c r="D9" s="6" t="inlineStr">
        <is>
          <t>Hendro Wijaya</t>
        </is>
      </c>
      <c r="E9" s="5" t="inlineStr">
        <is>
          <t>082155558888</t>
        </is>
      </c>
      <c r="F9" s="6" t="inlineStr">
        <is>
          <t>Tokopedia</t>
        </is>
      </c>
      <c r="G9" s="6" t="inlineStr">
        <is>
          <t>Tumbler Stainless</t>
        </is>
      </c>
      <c r="H9" s="7" t="n">
        <v>1</v>
      </c>
      <c r="I9" s="8" t="n">
        <v>120000</v>
      </c>
      <c r="J9" s="9">
        <f>H9*I9</f>
        <v/>
      </c>
      <c r="K9" s="10" t="n">
        <v>0</v>
      </c>
      <c r="L9" s="9">
        <f>J9-K9</f>
        <v/>
      </c>
      <c r="M9" s="5" t="inlineStr">
        <is>
          <t>Lunas</t>
        </is>
      </c>
    </row>
    <row r="10">
      <c r="A10" s="5" t="n">
        <v>5</v>
      </c>
      <c r="B10" s="5" t="inlineStr">
        <is>
          <t>2026-10-03</t>
        </is>
      </c>
      <c r="C10" s="5" t="inlineStr">
        <is>
          <t>INV-005</t>
        </is>
      </c>
      <c r="D10" s="6" t="inlineStr">
        <is>
          <t>Dewi Lestari</t>
        </is>
      </c>
      <c r="E10" s="5" t="inlineStr">
        <is>
          <t>085611223344</t>
        </is>
      </c>
      <c r="F10" s="6" t="inlineStr">
        <is>
          <t>TikTok Shop</t>
        </is>
      </c>
      <c r="G10" s="6" t="inlineStr">
        <is>
          <t>Kopi Susu 1 Liter</t>
        </is>
      </c>
      <c r="H10" s="7" t="n">
        <v>2</v>
      </c>
      <c r="I10" s="8" t="n">
        <v>75000</v>
      </c>
      <c r="J10" s="9">
        <f>H10*I10</f>
        <v/>
      </c>
      <c r="K10" s="10" t="n">
        <v>10000</v>
      </c>
      <c r="L10" s="9">
        <f>J10-K10</f>
        <v/>
      </c>
      <c r="M10" s="5" t="inlineStr">
        <is>
          <t>Lunas</t>
        </is>
      </c>
    </row>
    <row r="11">
      <c r="A11" s="12" t="n"/>
      <c r="B11" s="12" t="n"/>
      <c r="C11" s="12" t="n"/>
      <c r="D11" s="12" t="n"/>
      <c r="E11" s="12" t="n"/>
      <c r="F11" s="12" t="n"/>
      <c r="G11" s="13" t="inlineStr">
        <is>
          <t>TOTAL:</t>
        </is>
      </c>
      <c r="H11" s="14">
        <f>SUM(H6:H10)</f>
        <v/>
      </c>
      <c r="I11" s="12" t="n"/>
      <c r="J11" s="12" t="n"/>
      <c r="K11" s="12" t="n"/>
      <c r="L11" s="15">
        <f>SUM(L6:L10)</f>
        <v/>
      </c>
      <c r="M11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2" customWidth="1" min="4" max="4"/>
    <col width="17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4" customHeight="1">
      <c r="A1" s="1" t="inlineStr">
        <is>
          <t>DATABASE PELANGGAN (CRM) &amp; KOMISI SALES</t>
        </is>
      </c>
    </row>
    <row r="2" ht="22" customHeight="1">
      <c r="A2" s="2" t="inlineStr">
        <is>
          <t>Loyalitas Pelanggan, Riwayat Belanja &amp; Target Penjualan Tim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16" t="inlineStr">
        <is>
          <t>ID Pelanggan</t>
        </is>
      </c>
      <c r="B5" s="16" t="inlineStr">
        <is>
          <t>Nama Pelanggan</t>
        </is>
      </c>
      <c r="C5" s="16" t="inlineStr">
        <is>
          <t>No WhatsApp</t>
        </is>
      </c>
      <c r="D5" s="16" t="inlineStr">
        <is>
          <t>Kategori</t>
        </is>
      </c>
      <c r="E5" s="16" t="inlineStr">
        <is>
          <t>Total Pesanan</t>
        </is>
      </c>
      <c r="F5" s="16" t="inlineStr">
        <is>
          <t>Total Belanja (Rp)</t>
        </is>
      </c>
      <c r="G5" s="16" t="inlineStr">
        <is>
          <t>Status</t>
        </is>
      </c>
    </row>
    <row r="6">
      <c r="A6" s="5" t="inlineStr">
        <is>
          <t>CUST-001</t>
        </is>
      </c>
      <c r="B6" s="6" t="inlineStr">
        <is>
          <t>Budi Santoso</t>
        </is>
      </c>
      <c r="C6" s="5" t="inlineStr">
        <is>
          <t>081234567890</t>
        </is>
      </c>
      <c r="D6" s="6" t="inlineStr">
        <is>
          <t>Retail Toko</t>
        </is>
      </c>
      <c r="E6" s="17">
        <f>COUNTIF('01_LAPORAN_PENJUALAN'!D$6:D$10, B6)</f>
        <v/>
      </c>
      <c r="F6" s="9">
        <f>SUMIF('01_LAPORAN_PENJUALAN'!D$6:D$10, B6, '01_LAPORAN_PENJUALAN'!L$6:L$10)</f>
        <v/>
      </c>
      <c r="G6" s="5" t="inlineStr">
        <is>
          <t>Aktif</t>
        </is>
      </c>
    </row>
    <row r="7">
      <c r="A7" s="5" t="inlineStr">
        <is>
          <t>CUST-002</t>
        </is>
      </c>
      <c r="B7" s="6" t="inlineStr">
        <is>
          <t>Warung Berkah Bu Ani</t>
        </is>
      </c>
      <c r="C7" s="5" t="inlineStr">
        <is>
          <t>081512345678</t>
        </is>
      </c>
      <c r="D7" s="6" t="inlineStr">
        <is>
          <t>Grosir B2B</t>
        </is>
      </c>
      <c r="E7" s="17">
        <f>COUNTIF('01_LAPORAN_PENJUALAN'!D$6:D$10, B7)</f>
        <v/>
      </c>
      <c r="F7" s="9">
        <f>SUMIF('01_LAPORAN_PENJUALAN'!D$6:D$10, B7, '01_LAPORAN_PENJUALAN'!L$6:L$10)</f>
        <v/>
      </c>
      <c r="G7" s="5" t="inlineStr">
        <is>
          <t>Aktif</t>
        </is>
      </c>
    </row>
    <row r="8">
      <c r="A8" s="5" t="inlineStr">
        <is>
          <t>CUST-003</t>
        </is>
      </c>
      <c r="B8" s="6" t="inlineStr">
        <is>
          <t>Siti Rahma</t>
        </is>
      </c>
      <c r="C8" s="5" t="inlineStr">
        <is>
          <t>081398765432</t>
        </is>
      </c>
      <c r="D8" s="6" t="inlineStr">
        <is>
          <t>Online Marketplace</t>
        </is>
      </c>
      <c r="E8" s="17">
        <f>COUNTIF('01_LAPORAN_PENJUALAN'!D$6:D$10, B8)</f>
        <v/>
      </c>
      <c r="F8" s="9">
        <f>SUMIF('01_LAPORAN_PENJUALAN'!D$6:D$10, B8, '01_LAPORAN_PENJUALAN'!L$6:L$10)</f>
        <v/>
      </c>
      <c r="G8" s="5" t="inlineStr">
        <is>
          <t>Aktif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2026-10-26T04:56:06Z</dcterms:created>
  <dcterms:modified xsi:type="dcterms:W3CDTF">2026-10-26T04:56:06Z</dcterms:modified>
</cp:coreProperties>
</file>