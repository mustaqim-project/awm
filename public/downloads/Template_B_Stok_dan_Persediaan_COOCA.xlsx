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KARTU_STOK_DAN_OP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pivotButton="0" quotePrefix="0" xfId="0"/>
    <xf numFmtId="3" fontId="0" fillId="3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2" pivotButton="0" quotePrefix="0" xfId="0"/>
    <xf numFmtId="0" fontId="5" fillId="6" borderId="2" applyAlignment="1" pivotButton="0" quotePrefix="0" xfId="0">
      <alignment horizontal="right" vertical="center"/>
    </xf>
    <xf numFmtId="3" fontId="5" fillId="6" borderId="2" pivotButton="0" quotePrefix="0" xfId="0"/>
    <xf numFmtId="164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4" customWidth="1" min="4" max="4"/>
    <col width="27" customWidth="1" min="5" max="5"/>
    <col width="21" customWidth="1" min="6" max="6"/>
    <col width="14" customWidth="1" min="7" max="7"/>
    <col width="13" customWidth="1" min="8" max="8"/>
    <col width="14" customWidth="1" min="9" max="9"/>
    <col width="15" customWidth="1" min="10" max="10"/>
    <col width="16" customWidth="1" min="11" max="11"/>
    <col width="19" customWidth="1" min="12" max="12"/>
    <col width="13" customWidth="1" min="13" max="13"/>
    <col width="16" customWidth="1" min="14" max="14"/>
    <col width="13" customWidth="1" min="15" max="15"/>
  </cols>
  <sheetData>
    <row r="1" ht="34" customHeight="1">
      <c r="A1" s="1" t="inlineStr">
        <is>
          <t>MODUL B: STOK, SKU, RESTOCK ALERT &amp; STOCK OPNAME</t>
        </is>
      </c>
    </row>
    <row r="2" ht="22" customHeight="1">
      <c r="A2" s="2" t="inlineStr">
        <is>
          <t>Master Katalog SKU, Mutasi In/Out, Batas Reorder Kritis &amp; Perhitungan Selisih Fisik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4" t="inlineStr">
        <is>
          <t>No</t>
        </is>
      </c>
      <c r="B5" s="4" t="inlineStr">
        <is>
          <t>Kode SKU</t>
        </is>
      </c>
      <c r="C5" s="4" t="inlineStr">
        <is>
          <t>Nama Produk</t>
        </is>
      </c>
      <c r="D5" s="4" t="inlineStr">
        <is>
          <t>Kategori</t>
        </is>
      </c>
      <c r="E5" s="4" t="inlineStr">
        <is>
          <t>Satuan</t>
        </is>
      </c>
      <c r="F5" s="4" t="inlineStr">
        <is>
          <t>Harga Pokok (HPP)</t>
        </is>
      </c>
      <c r="G5" s="4" t="inlineStr">
        <is>
          <t>Harga Jual</t>
        </is>
      </c>
      <c r="H5" s="4" t="inlineStr">
        <is>
          <t>Stok Awal</t>
        </is>
      </c>
      <c r="I5" s="4" t="inlineStr">
        <is>
          <t>Stok Masuk</t>
        </is>
      </c>
      <c r="J5" s="4" t="inlineStr">
        <is>
          <t>Stok Keluar</t>
        </is>
      </c>
      <c r="K5" s="4" t="inlineStr">
        <is>
          <t>Sisa Akhir</t>
        </is>
      </c>
      <c r="L5" s="4" t="inlineStr">
        <is>
          <t>Nilai Aset (Rp)</t>
        </is>
      </c>
      <c r="M5" s="4" t="inlineStr">
        <is>
          <t>Min Alert</t>
        </is>
      </c>
      <c r="N5" s="4" t="inlineStr">
        <is>
          <t>Status Stok</t>
        </is>
      </c>
    </row>
    <row r="6">
      <c r="A6" s="5" t="n">
        <v>1</v>
      </c>
      <c r="B6" s="5" t="inlineStr">
        <is>
          <t>SKU-001</t>
        </is>
      </c>
      <c r="C6" s="6" t="inlineStr">
        <is>
          <t>Kopi Susu Gula Aren</t>
        </is>
      </c>
      <c r="D6" s="6" t="inlineStr">
        <is>
          <t>Minuman</t>
        </is>
      </c>
      <c r="E6" s="5" t="inlineStr">
        <is>
          <t>Cup</t>
        </is>
      </c>
      <c r="F6" s="7" t="n">
        <v>8000</v>
      </c>
      <c r="G6" s="7" t="n">
        <v>18000</v>
      </c>
      <c r="H6" s="8" t="n">
        <v>50</v>
      </c>
      <c r="I6" s="8" t="n">
        <v>100</v>
      </c>
      <c r="J6" s="8" t="n">
        <v>85</v>
      </c>
      <c r="K6" s="9">
        <f>H6+I6-J6</f>
        <v/>
      </c>
      <c r="L6" s="10">
        <f>K6*F6</f>
        <v/>
      </c>
      <c r="M6" s="8" t="n">
        <v>20</v>
      </c>
      <c r="N6" s="11">
        <f>IF(K6&lt;=M6, "⚠️ PERLU RESTOCK", "✅ AMAN")</f>
        <v/>
      </c>
    </row>
    <row r="7">
      <c r="A7" s="5" t="n">
        <v>2</v>
      </c>
      <c r="B7" s="5" t="inlineStr">
        <is>
          <t>SKU-002</t>
        </is>
      </c>
      <c r="C7" s="6" t="inlineStr">
        <is>
          <t>Biji Kopi Robusta 250g</t>
        </is>
      </c>
      <c r="D7" s="6" t="inlineStr">
        <is>
          <t>Bahan Baku</t>
        </is>
      </c>
      <c r="E7" s="5" t="inlineStr">
        <is>
          <t>Pack</t>
        </is>
      </c>
      <c r="F7" s="7" t="n">
        <v>35000</v>
      </c>
      <c r="G7" s="7" t="n">
        <v>65000</v>
      </c>
      <c r="H7" s="8" t="n">
        <v>20</v>
      </c>
      <c r="I7" s="8" t="n">
        <v>30</v>
      </c>
      <c r="J7" s="8" t="n">
        <v>42</v>
      </c>
      <c r="K7" s="9">
        <f>H7+I7-J7</f>
        <v/>
      </c>
      <c r="L7" s="10">
        <f>K7*F7</f>
        <v/>
      </c>
      <c r="M7" s="8" t="n">
        <v>15</v>
      </c>
      <c r="N7" s="11">
        <f>IF(K7&lt;=M7, "⚠️ PERLU RESTOCK", "✅ AMAN")</f>
        <v/>
      </c>
    </row>
    <row r="8">
      <c r="A8" s="5" t="n">
        <v>3</v>
      </c>
      <c r="B8" s="5" t="inlineStr">
        <is>
          <t>SKU-003</t>
        </is>
      </c>
      <c r="C8" s="6" t="inlineStr">
        <is>
          <t>Sirup Karamel 1L</t>
        </is>
      </c>
      <c r="D8" s="6" t="inlineStr">
        <is>
          <t>Bahan Baku</t>
        </is>
      </c>
      <c r="E8" s="5" t="inlineStr">
        <is>
          <t>Botol</t>
        </is>
      </c>
      <c r="F8" s="7" t="n">
        <v>55000</v>
      </c>
      <c r="G8" s="7" t="n">
        <v>85000</v>
      </c>
      <c r="H8" s="8" t="n">
        <v>10</v>
      </c>
      <c r="I8" s="8" t="n">
        <v>15</v>
      </c>
      <c r="J8" s="8" t="n">
        <v>21</v>
      </c>
      <c r="K8" s="9">
        <f>H8+I8-J8</f>
        <v/>
      </c>
      <c r="L8" s="10">
        <f>K8*F8</f>
        <v/>
      </c>
      <c r="M8" s="8" t="n">
        <v>5</v>
      </c>
      <c r="N8" s="11">
        <f>IF(K8&lt;=M8, "⚠️ PERLU RESTOCK", "✅ AMAN")</f>
        <v/>
      </c>
    </row>
    <row r="9">
      <c r="A9" s="5" t="n">
        <v>4</v>
      </c>
      <c r="B9" s="5" t="inlineStr">
        <is>
          <t>SKU-004</t>
        </is>
      </c>
      <c r="C9" s="6" t="inlineStr">
        <is>
          <t>Croissant Almond</t>
        </is>
      </c>
      <c r="D9" s="6" t="inlineStr">
        <is>
          <t>Pastry</t>
        </is>
      </c>
      <c r="E9" s="5" t="inlineStr">
        <is>
          <t>Pcs</t>
        </is>
      </c>
      <c r="F9" s="7" t="n">
        <v>12000</v>
      </c>
      <c r="G9" s="7" t="n">
        <v>25000</v>
      </c>
      <c r="H9" s="8" t="n">
        <v>30</v>
      </c>
      <c r="I9" s="8" t="n">
        <v>40</v>
      </c>
      <c r="J9" s="8" t="n">
        <v>65</v>
      </c>
      <c r="K9" s="9">
        <f>H9+I9-J9</f>
        <v/>
      </c>
      <c r="L9" s="10">
        <f>K9*F9</f>
        <v/>
      </c>
      <c r="M9" s="8" t="n">
        <v>10</v>
      </c>
      <c r="N9" s="11">
        <f>IF(K9&lt;=M9, "⚠️ PERLU RESTOCK", "✅ AMAN")</f>
        <v/>
      </c>
    </row>
    <row r="10">
      <c r="A10" s="12" t="n"/>
      <c r="B10" s="12" t="n"/>
      <c r="C10" s="12" t="n"/>
      <c r="D10" s="12" t="n"/>
      <c r="E10" s="13" t="inlineStr">
        <is>
          <t>TOTAL NILAI PERSEDIAAN:</t>
        </is>
      </c>
      <c r="F10" s="12" t="n"/>
      <c r="G10" s="12" t="n"/>
      <c r="H10" s="12" t="n"/>
      <c r="I10" s="12" t="n"/>
      <c r="J10" s="12" t="n"/>
      <c r="K10" s="14">
        <f>SUM(K6:K9)</f>
        <v/>
      </c>
      <c r="L10" s="15">
        <f>SUM(L6:L9)</f>
        <v/>
      </c>
      <c r="M10" s="12" t="n"/>
      <c r="N10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