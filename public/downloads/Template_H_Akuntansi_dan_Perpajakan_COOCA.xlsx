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JURNAL_DAN_PAJAK_UM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;(&quot;Rp&quot;#,##0);&quot;-&quot;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47857"/>
      <sz val="9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3" borderId="1" pivotButton="0" quotePrefix="0" xfId="0"/>
    <xf numFmtId="164" fontId="0" fillId="5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4" fontId="6" fillId="5" borderId="1" pivotButton="0" quotePrefix="0" xfId="0"/>
    <xf numFmtId="0" fontId="6" fillId="7" borderId="2" pivotButton="0" quotePrefix="0" xfId="0"/>
    <xf numFmtId="164" fontId="6" fillId="7" borderId="2" pivotButton="0" quotePrefix="0" xfId="0"/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63" customWidth="1" min="2" max="2"/>
    <col width="22" customWidth="1" min="3" max="3"/>
    <col width="24" customWidth="1" min="4" max="4"/>
    <col width="20" customWidth="1" min="5" max="5"/>
    <col width="21" customWidth="1" min="6" max="6"/>
    <col width="13" customWidth="1" min="7" max="7"/>
    <col width="21" customWidth="1" min="8" max="8"/>
    <col width="17" customWidth="1" min="9" max="9"/>
    <col width="13" customWidth="1" min="10" max="10"/>
    <col width="13" customWidth="1" min="11" max="11"/>
  </cols>
  <sheetData>
    <row r="1" ht="34" customHeight="1">
      <c r="A1" s="1" t="inlineStr">
        <is>
          <t>MODUL H: JURNAL UMUM, NERACA SALDO &amp; REKAP PAJAK UMKM 0.5%</t>
        </is>
      </c>
    </row>
    <row r="2" ht="22" customHeight="1">
      <c r="A2" s="2" t="inlineStr">
        <is>
          <t>Standar Pembukuan Akuntansi Debit/Kredit &amp; Rekapitulasi Pajak PPh Final Sesuai PP 55/2022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B5" s="4" t="inlineStr">
        <is>
          <t>REKAPITULASI OMZET &amp; PPh FINAL UMKM 0.5% (PP 55 TAHUN 2022)</t>
        </is>
      </c>
    </row>
    <row r="6">
      <c r="B6" s="5" t="inlineStr">
        <is>
          <t>Bulan</t>
        </is>
      </c>
      <c r="C6" s="5" t="inlineStr">
        <is>
          <t>Omzet Bulanan (Rp)</t>
        </is>
      </c>
      <c r="D6" s="5" t="inlineStr">
        <is>
          <t>Akumulasi Omzet (Rp)</t>
        </is>
      </c>
      <c r="E6" s="5" t="inlineStr">
        <is>
          <t>Bebas Pajak (OP)</t>
        </is>
      </c>
      <c r="F6" s="5" t="inlineStr">
        <is>
          <t>Dasar Pajak (DPP)</t>
        </is>
      </c>
      <c r="G6" s="5" t="inlineStr">
        <is>
          <t>Tarif</t>
        </is>
      </c>
      <c r="H6" s="5" t="inlineStr">
        <is>
          <t>PPh Terutang (Rp)</t>
        </is>
      </c>
      <c r="I6" s="5" t="inlineStr">
        <is>
          <t>Status</t>
        </is>
      </c>
    </row>
    <row r="7">
      <c r="B7" s="6" t="inlineStr">
        <is>
          <t>Januari</t>
        </is>
      </c>
      <c r="C7" s="7" t="n">
        <v>35000000</v>
      </c>
      <c r="D7" s="8">
        <f>C7</f>
        <v/>
      </c>
      <c r="E7" s="9" t="n">
        <v>500000000</v>
      </c>
      <c r="F7" s="8">
        <f>IF(D7&gt;E7, MIN(C7, D7-E7), 0)</f>
        <v/>
      </c>
      <c r="G7" s="10" t="n">
        <v>0.005</v>
      </c>
      <c r="H7" s="11">
        <f>F7*G7</f>
        <v/>
      </c>
      <c r="I7" s="6" t="inlineStr">
        <is>
          <t>Lunas Disetor</t>
        </is>
      </c>
    </row>
    <row r="8">
      <c r="B8" s="6" t="inlineStr">
        <is>
          <t>Februari</t>
        </is>
      </c>
      <c r="C8" s="7" t="n">
        <v>42000000</v>
      </c>
      <c r="D8" s="8">
        <f>D7+C8</f>
        <v/>
      </c>
      <c r="E8" s="9" t="n">
        <v>500000000</v>
      </c>
      <c r="F8" s="8">
        <f>IF(D8&gt;E8, MIN(C8, D8-E8), 0)</f>
        <v/>
      </c>
      <c r="G8" s="10" t="n">
        <v>0.005</v>
      </c>
      <c r="H8" s="11">
        <f>F8*G8</f>
        <v/>
      </c>
      <c r="I8" s="6" t="inlineStr">
        <is>
          <t>Lunas Disetor</t>
        </is>
      </c>
    </row>
    <row r="9">
      <c r="B9" s="6" t="inlineStr">
        <is>
          <t>Maret</t>
        </is>
      </c>
      <c r="C9" s="7" t="n">
        <v>38000000</v>
      </c>
      <c r="D9" s="8">
        <f>D8+C9</f>
        <v/>
      </c>
      <c r="E9" s="9" t="n">
        <v>500000000</v>
      </c>
      <c r="F9" s="8">
        <f>IF(D9&gt;E9, MIN(C9, D9-E9), 0)</f>
        <v/>
      </c>
      <c r="G9" s="10" t="n">
        <v>0.005</v>
      </c>
      <c r="H9" s="11">
        <f>F9*G9</f>
        <v/>
      </c>
      <c r="I9" s="6" t="inlineStr">
        <is>
          <t>Lunas Disetor</t>
        </is>
      </c>
    </row>
    <row r="10">
      <c r="B10" s="6" t="inlineStr">
        <is>
          <t>April</t>
        </is>
      </c>
      <c r="C10" s="7" t="n">
        <v>45000000</v>
      </c>
      <c r="D10" s="8">
        <f>D9+C10</f>
        <v/>
      </c>
      <c r="E10" s="9" t="n">
        <v>500000000</v>
      </c>
      <c r="F10" s="8">
        <f>IF(D10&gt;E10, MIN(C10, D10-E10), 0)</f>
        <v/>
      </c>
      <c r="G10" s="10" t="n">
        <v>0.005</v>
      </c>
      <c r="H10" s="11">
        <f>F10*G10</f>
        <v/>
      </c>
      <c r="I10" s="6" t="inlineStr">
        <is>
          <t>Lunas Disetor</t>
        </is>
      </c>
    </row>
    <row r="11">
      <c r="B11" s="6" t="inlineStr">
        <is>
          <t>Mei</t>
        </is>
      </c>
      <c r="C11" s="7" t="n">
        <v>48000000</v>
      </c>
      <c r="D11" s="8">
        <f>D10+C11</f>
        <v/>
      </c>
      <c r="E11" s="9" t="n">
        <v>500000000</v>
      </c>
      <c r="F11" s="8">
        <f>IF(D11&gt;E11, MIN(C11, D11-E11), 0)</f>
        <v/>
      </c>
      <c r="G11" s="10" t="n">
        <v>0.005</v>
      </c>
      <c r="H11" s="11">
        <f>F11*G11</f>
        <v/>
      </c>
      <c r="I11" s="6" t="inlineStr">
        <is>
          <t>Lunas Disetor</t>
        </is>
      </c>
    </row>
    <row r="12">
      <c r="B12" s="6" t="inlineStr">
        <is>
          <t>Juni</t>
        </is>
      </c>
      <c r="C12" s="7" t="n">
        <v>52000000</v>
      </c>
      <c r="D12" s="8">
        <f>D11+C12</f>
        <v/>
      </c>
      <c r="E12" s="9" t="n">
        <v>500000000</v>
      </c>
      <c r="F12" s="8">
        <f>IF(D12&gt;E12, MIN(C12, D12-E12), 0)</f>
        <v/>
      </c>
      <c r="G12" s="10" t="n">
        <v>0.005</v>
      </c>
      <c r="H12" s="11">
        <f>F12*G12</f>
        <v/>
      </c>
      <c r="I12" s="6" t="inlineStr">
        <is>
          <t>Lunas Disetor</t>
        </is>
      </c>
    </row>
    <row r="13">
      <c r="B13" s="6" t="inlineStr">
        <is>
          <t>Juli</t>
        </is>
      </c>
      <c r="C13" s="7" t="n">
        <v>55000000</v>
      </c>
      <c r="D13" s="8">
        <f>D12+C13</f>
        <v/>
      </c>
      <c r="E13" s="9" t="n">
        <v>500000000</v>
      </c>
      <c r="F13" s="8">
        <f>IF(D13&gt;E13, MIN(C13, D13-E13), 0)</f>
        <v/>
      </c>
      <c r="G13" s="10" t="n">
        <v>0.005</v>
      </c>
      <c r="H13" s="11">
        <f>F13*G13</f>
        <v/>
      </c>
      <c r="I13" s="6" t="inlineStr">
        <is>
          <t>Lunas Disetor</t>
        </is>
      </c>
    </row>
    <row r="14">
      <c r="B14" s="6" t="inlineStr">
        <is>
          <t>Agustus</t>
        </is>
      </c>
      <c r="C14" s="7" t="n">
        <v>58000000</v>
      </c>
      <c r="D14" s="8">
        <f>D13+C14</f>
        <v/>
      </c>
      <c r="E14" s="9" t="n">
        <v>500000000</v>
      </c>
      <c r="F14" s="8">
        <f>IF(D14&gt;E14, MIN(C14, D14-E14), 0)</f>
        <v/>
      </c>
      <c r="G14" s="10" t="n">
        <v>0.005</v>
      </c>
      <c r="H14" s="11">
        <f>F14*G14</f>
        <v/>
      </c>
      <c r="I14" s="6" t="inlineStr">
        <is>
          <t>Lunas Disetor</t>
        </is>
      </c>
    </row>
    <row r="15">
      <c r="B15" s="6" t="inlineStr">
        <is>
          <t>September</t>
        </is>
      </c>
      <c r="C15" s="7" t="n">
        <v>60000000</v>
      </c>
      <c r="D15" s="8">
        <f>D14+C15</f>
        <v/>
      </c>
      <c r="E15" s="9" t="n">
        <v>500000000</v>
      </c>
      <c r="F15" s="8">
        <f>IF(D15&gt;E15, MIN(C15, D15-E15), 0)</f>
        <v/>
      </c>
      <c r="G15" s="10" t="n">
        <v>0.005</v>
      </c>
      <c r="H15" s="11">
        <f>F15*G15</f>
        <v/>
      </c>
      <c r="I15" s="6" t="inlineStr">
        <is>
          <t>Lunas Disetor</t>
        </is>
      </c>
    </row>
    <row r="16">
      <c r="B16" s="6" t="inlineStr">
        <is>
          <t>Oktober</t>
        </is>
      </c>
      <c r="C16" s="7" t="n">
        <v>62000000</v>
      </c>
      <c r="D16" s="8">
        <f>D15+C16</f>
        <v/>
      </c>
      <c r="E16" s="9" t="n">
        <v>500000000</v>
      </c>
      <c r="F16" s="8">
        <f>IF(D16&gt;E16, MIN(C16, D16-E16), 0)</f>
        <v/>
      </c>
      <c r="G16" s="10" t="n">
        <v>0.005</v>
      </c>
      <c r="H16" s="11">
        <f>F16*G16</f>
        <v/>
      </c>
      <c r="I16" s="6" t="inlineStr">
        <is>
          <t>Lunas Disetor</t>
        </is>
      </c>
    </row>
    <row r="17">
      <c r="B17" s="6" t="inlineStr">
        <is>
          <t>November</t>
        </is>
      </c>
      <c r="C17" s="7" t="n">
        <v>0</v>
      </c>
      <c r="D17" s="8">
        <f>D16+C17</f>
        <v/>
      </c>
      <c r="E17" s="9" t="n">
        <v>500000000</v>
      </c>
      <c r="F17" s="8">
        <f>IF(D17&gt;E17, MIN(C17, D17-E17), 0)</f>
        <v/>
      </c>
      <c r="G17" s="10" t="n">
        <v>0.005</v>
      </c>
      <c r="H17" s="11">
        <f>F17*G17</f>
        <v/>
      </c>
      <c r="I17" s="6" t="inlineStr">
        <is>
          <t>Belum Masa</t>
        </is>
      </c>
    </row>
    <row r="18">
      <c r="B18" s="6" t="inlineStr">
        <is>
          <t>Desember</t>
        </is>
      </c>
      <c r="C18" s="7" t="n">
        <v>0</v>
      </c>
      <c r="D18" s="8">
        <f>D17+C18</f>
        <v/>
      </c>
      <c r="E18" s="9" t="n">
        <v>500000000</v>
      </c>
      <c r="F18" s="8">
        <f>IF(D18&gt;E18, MIN(C18, D18-E18), 0)</f>
        <v/>
      </c>
      <c r="G18" s="10" t="n">
        <v>0.005</v>
      </c>
      <c r="H18" s="11">
        <f>F18*G18</f>
        <v/>
      </c>
      <c r="I18" s="6" t="inlineStr">
        <is>
          <t>Belum Masa</t>
        </is>
      </c>
    </row>
    <row r="19">
      <c r="B19" s="12" t="inlineStr">
        <is>
          <t>TOTAL TAHUNAN:</t>
        </is>
      </c>
      <c r="C19" s="13">
        <f>SUM(C7:C18)</f>
        <v/>
      </c>
      <c r="D19" s="14" t="n"/>
      <c r="E19" s="14" t="n"/>
      <c r="F19" s="14" t="n"/>
      <c r="G19" s="14" t="n"/>
      <c r="H19" s="13">
        <f>SUM(H7:H18)</f>
        <v/>
      </c>
      <c r="I19" s="14" t="n"/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2026-10-26T04:56:06Z</dcterms:created>
  <dcterms:modified xsi:type="dcterms:W3CDTF">2026-10-26T04:56:06Z</dcterms:modified>
</cp:coreProperties>
</file>